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20" windowWidth="28035" windowHeight="11775" activeTab="1"/>
  </bookViews>
  <sheets>
    <sheet name="K" sheetId="17" r:id="rId1"/>
    <sheet name="dq" sheetId="7" r:id="rId2"/>
    <sheet name="tf_result" sheetId="11" r:id="rId3"/>
    <sheet name="qt" sheetId="15" r:id="rId4"/>
    <sheet name="3dr" sheetId="6" r:id="rId5"/>
    <sheet name="lj" sheetId="8" r:id="rId6"/>
    <sheet name="tf" sheetId="9" r:id="rId7"/>
    <sheet name="tfdl" sheetId="12" r:id="rId8"/>
    <sheet name="ql" sheetId="13" r:id="rId9"/>
    <sheet name="Sheet1" sheetId="14" r:id="rId10"/>
  </sheets>
  <functionGroups builtInGroupCount="17"/>
  <externalReferences>
    <externalReference r:id="rId11"/>
    <externalReference r:id="rId12"/>
  </externalReferences>
  <definedNames>
    <definedName name="_C3_16" comment="=IF(ISERROR(MATCH(ROW(),GET.DOCUMENT(64),1)),1,MATCH(ROW(),GET.DOCUMENT(64),1)+1)">#REF!</definedName>
    <definedName name="A">#REF!</definedName>
    <definedName name="ad">#REF!</definedName>
    <definedName name="adfa">#REF!</definedName>
    <definedName name="adfad">#REF!</definedName>
    <definedName name="allgape">IF(ISERROR(MATCH(ROW(),GET.DOCUMENT(64),1)),1,MATCH(ROW(),GET.DOCUMENT(64),1)+1)</definedName>
    <definedName name="AM">#REF!</definedName>
    <definedName name="pagenumber">IF(ISERROR(MATCH(ROW(),GET.DOCUMENT(64),1)),1,MATCH(ROW(),GET.DOCUMENT(64),1)+1)</definedName>
    <definedName name="_xlnm.Print_Area" localSheetId="0">K!$A$1:$AA$88</definedName>
    <definedName name="_xlnm.Print_Area" localSheetId="3">qt!$A$1:$AA$61</definedName>
    <definedName name="_xlnm.Print_Titles" localSheetId="0">K!$1:$7</definedName>
    <definedName name="_xlnm.Print_Titles" localSheetId="3">qt!$1:$7</definedName>
  </definedNames>
  <calcPr calcId="144525"/>
</workbook>
</file>

<file path=xl/calcChain.xml><?xml version="1.0" encoding="utf-8"?>
<calcChain xmlns="http://schemas.openxmlformats.org/spreadsheetml/2006/main">
  <c r="AC27" i="14" l="1"/>
  <c r="AC26" i="14"/>
  <c r="Z87" i="17" l="1"/>
  <c r="Y87" i="17"/>
  <c r="R87" i="17"/>
  <c r="Q87" i="17"/>
  <c r="N75" i="17"/>
  <c r="J75" i="17"/>
  <c r="I75" i="17"/>
  <c r="H75" i="17"/>
  <c r="G75" i="17"/>
  <c r="F75" i="17"/>
  <c r="D75" i="17"/>
  <c r="C75" i="17"/>
  <c r="E75" i="17" s="1"/>
  <c r="B75" i="17"/>
  <c r="A75" i="17"/>
  <c r="AH74" i="17"/>
  <c r="B74" i="17" s="1"/>
  <c r="N74" i="17"/>
  <c r="M74" i="17"/>
  <c r="K74" i="17"/>
  <c r="L74" i="17" s="1"/>
  <c r="J74" i="17"/>
  <c r="C74" i="17"/>
  <c r="A74" i="17"/>
  <c r="AH73" i="17"/>
  <c r="P73" i="17"/>
  <c r="N73" i="17"/>
  <c r="L73" i="17"/>
  <c r="K73" i="17"/>
  <c r="J73" i="17"/>
  <c r="M73" i="17" s="1"/>
  <c r="H73" i="17"/>
  <c r="C73" i="17"/>
  <c r="AH72" i="17"/>
  <c r="B72" i="17" s="1"/>
  <c r="P72" i="17"/>
  <c r="N72" i="17"/>
  <c r="M72" i="17"/>
  <c r="K72" i="17"/>
  <c r="J72" i="17"/>
  <c r="L72" i="17" s="1"/>
  <c r="C72" i="17"/>
  <c r="A72" i="17"/>
  <c r="AH71" i="17"/>
  <c r="A71" i="17" s="1"/>
  <c r="J71" i="17"/>
  <c r="H71" i="17"/>
  <c r="F71" i="17"/>
  <c r="E71" i="17"/>
  <c r="D71" i="17"/>
  <c r="C71" i="17"/>
  <c r="I71" i="17" s="1"/>
  <c r="B71" i="17"/>
  <c r="AH70" i="17"/>
  <c r="A70" i="17" s="1"/>
  <c r="O70" i="17"/>
  <c r="M70" i="17"/>
  <c r="K70" i="17"/>
  <c r="J70" i="17"/>
  <c r="C70" i="17"/>
  <c r="B70" i="17"/>
  <c r="AH69" i="17"/>
  <c r="J69" i="17"/>
  <c r="I69" i="17"/>
  <c r="H69" i="17"/>
  <c r="G69" i="17"/>
  <c r="F69" i="17"/>
  <c r="E69" i="17"/>
  <c r="D69" i="17"/>
  <c r="C69" i="17"/>
  <c r="B69" i="17"/>
  <c r="A69" i="17"/>
  <c r="AH68" i="17"/>
  <c r="B68" i="17" s="1"/>
  <c r="N68" i="17"/>
  <c r="M68" i="17"/>
  <c r="L68" i="17"/>
  <c r="P68" i="17" s="1"/>
  <c r="K68" i="17"/>
  <c r="J68" i="17"/>
  <c r="I68" i="17"/>
  <c r="G68" i="17"/>
  <c r="F68" i="17"/>
  <c r="E68" i="17"/>
  <c r="D68" i="17"/>
  <c r="C68" i="17"/>
  <c r="H68" i="17" s="1"/>
  <c r="AR68" i="17" s="1"/>
  <c r="A68" i="17"/>
  <c r="AH67" i="17"/>
  <c r="B67" i="17" s="1"/>
  <c r="K67" i="17"/>
  <c r="J67" i="17"/>
  <c r="I67" i="17"/>
  <c r="F67" i="17"/>
  <c r="D67" i="17"/>
  <c r="C67" i="17"/>
  <c r="AH66" i="17"/>
  <c r="P66" i="17"/>
  <c r="O66" i="17"/>
  <c r="N66" i="17"/>
  <c r="M66" i="17"/>
  <c r="K66" i="17"/>
  <c r="L66" i="17" s="1"/>
  <c r="J66" i="17"/>
  <c r="I66" i="17"/>
  <c r="H66" i="17"/>
  <c r="G66" i="17"/>
  <c r="F66" i="17"/>
  <c r="C66" i="17"/>
  <c r="AH65" i="17"/>
  <c r="P65" i="17"/>
  <c r="N65" i="17"/>
  <c r="M65" i="17"/>
  <c r="L65" i="17"/>
  <c r="K65" i="17"/>
  <c r="J65" i="17"/>
  <c r="H65" i="17"/>
  <c r="F65" i="17"/>
  <c r="E65" i="17"/>
  <c r="C65" i="17"/>
  <c r="AH64" i="17"/>
  <c r="A64" i="17" s="1"/>
  <c r="J64" i="17"/>
  <c r="N64" i="17" s="1"/>
  <c r="E64" i="17"/>
  <c r="C64" i="17"/>
  <c r="B64" i="17"/>
  <c r="AH63" i="17"/>
  <c r="J63" i="17"/>
  <c r="I63" i="17"/>
  <c r="H63" i="17"/>
  <c r="G63" i="17"/>
  <c r="F63" i="17"/>
  <c r="E63" i="17"/>
  <c r="D63" i="17"/>
  <c r="C63" i="17"/>
  <c r="B63" i="17"/>
  <c r="A63" i="17"/>
  <c r="AH62" i="17"/>
  <c r="B62" i="17" s="1"/>
  <c r="O62" i="17"/>
  <c r="N62" i="17"/>
  <c r="M62" i="17"/>
  <c r="L62" i="17"/>
  <c r="P62" i="17" s="1"/>
  <c r="K62" i="17"/>
  <c r="J62" i="17"/>
  <c r="I62" i="17"/>
  <c r="G62" i="17"/>
  <c r="F62" i="17"/>
  <c r="E62" i="17"/>
  <c r="D62" i="17"/>
  <c r="C62" i="17"/>
  <c r="H62" i="17" s="1"/>
  <c r="A62" i="17"/>
  <c r="AH61" i="17"/>
  <c r="N61" i="17"/>
  <c r="K61" i="17"/>
  <c r="J61" i="17"/>
  <c r="M61" i="17" s="1"/>
  <c r="D61" i="17"/>
  <c r="C61" i="17"/>
  <c r="B61" i="17"/>
  <c r="A61" i="17"/>
  <c r="AH60" i="17"/>
  <c r="B60" i="17" s="1"/>
  <c r="N60" i="17"/>
  <c r="K60" i="17"/>
  <c r="L60" i="17" s="1"/>
  <c r="J60" i="17"/>
  <c r="I60" i="17"/>
  <c r="H60" i="17"/>
  <c r="G60" i="17"/>
  <c r="F60" i="17"/>
  <c r="C60" i="17"/>
  <c r="AH59" i="17"/>
  <c r="N59" i="17"/>
  <c r="M59" i="17"/>
  <c r="K59" i="17"/>
  <c r="L59" i="17" s="1"/>
  <c r="J59" i="17"/>
  <c r="H59" i="17"/>
  <c r="F59" i="17"/>
  <c r="E59" i="17"/>
  <c r="D59" i="17"/>
  <c r="C59" i="17"/>
  <c r="AH58" i="17"/>
  <c r="M58" i="17"/>
  <c r="K58" i="17"/>
  <c r="J58" i="17"/>
  <c r="C58" i="17"/>
  <c r="B58" i="17"/>
  <c r="A58" i="17"/>
  <c r="AH57" i="17"/>
  <c r="J57" i="17"/>
  <c r="H57" i="17"/>
  <c r="G57" i="17"/>
  <c r="F57" i="17"/>
  <c r="E57" i="17"/>
  <c r="D57" i="17"/>
  <c r="C57" i="17"/>
  <c r="I57" i="17" s="1"/>
  <c r="B57" i="17"/>
  <c r="A57" i="17"/>
  <c r="AH56" i="17"/>
  <c r="A56" i="17" s="1"/>
  <c r="O56" i="17"/>
  <c r="N56" i="17"/>
  <c r="M56" i="17"/>
  <c r="L56" i="17"/>
  <c r="K56" i="17"/>
  <c r="J56" i="17"/>
  <c r="F56" i="17"/>
  <c r="C56" i="17"/>
  <c r="B56" i="17"/>
  <c r="AH55" i="17"/>
  <c r="L55" i="17"/>
  <c r="K55" i="17"/>
  <c r="J55" i="17"/>
  <c r="D55" i="17"/>
  <c r="C55" i="17"/>
  <c r="B55" i="17"/>
  <c r="A55" i="17"/>
  <c r="AH54" i="17"/>
  <c r="B54" i="17" s="1"/>
  <c r="P54" i="17"/>
  <c r="N54" i="17"/>
  <c r="M54" i="17"/>
  <c r="O54" i="17" s="1"/>
  <c r="L54" i="17"/>
  <c r="K54" i="17"/>
  <c r="J54" i="17"/>
  <c r="I54" i="17"/>
  <c r="H54" i="17"/>
  <c r="G54" i="17"/>
  <c r="F54" i="17"/>
  <c r="E54" i="17"/>
  <c r="D54" i="17"/>
  <c r="C54" i="17"/>
  <c r="A54" i="17"/>
  <c r="AH53" i="17"/>
  <c r="B53" i="17" s="1"/>
  <c r="J53" i="17"/>
  <c r="I53" i="17"/>
  <c r="F53" i="17"/>
  <c r="E53" i="17"/>
  <c r="D53" i="17"/>
  <c r="C53" i="17"/>
  <c r="A53" i="17"/>
  <c r="AH52" i="17"/>
  <c r="J52" i="17"/>
  <c r="I52" i="17"/>
  <c r="H52" i="17"/>
  <c r="G52" i="17"/>
  <c r="F52" i="17"/>
  <c r="C52" i="17"/>
  <c r="AH51" i="17"/>
  <c r="N51" i="17"/>
  <c r="M51" i="17"/>
  <c r="K51" i="17"/>
  <c r="J51" i="17"/>
  <c r="H51" i="17"/>
  <c r="G51" i="17"/>
  <c r="F51" i="17"/>
  <c r="C51" i="17"/>
  <c r="I51" i="17" s="1"/>
  <c r="AH50" i="17"/>
  <c r="A50" i="17" s="1"/>
  <c r="J50" i="17"/>
  <c r="I50" i="17"/>
  <c r="F50" i="17"/>
  <c r="C50" i="17"/>
  <c r="AH49" i="17"/>
  <c r="J49" i="17"/>
  <c r="I49" i="17"/>
  <c r="H49" i="17"/>
  <c r="G49" i="17"/>
  <c r="F49" i="17"/>
  <c r="C49" i="17"/>
  <c r="AH48" i="17"/>
  <c r="N48" i="17"/>
  <c r="M48" i="17"/>
  <c r="K48" i="17"/>
  <c r="O48" i="17" s="1"/>
  <c r="J48" i="17"/>
  <c r="C48" i="17"/>
  <c r="AH47" i="17"/>
  <c r="K47" i="17"/>
  <c r="J47" i="17"/>
  <c r="I47" i="17"/>
  <c r="H47" i="17"/>
  <c r="C47" i="17"/>
  <c r="B47" i="17"/>
  <c r="A47" i="17"/>
  <c r="AH46" i="17"/>
  <c r="J46" i="17"/>
  <c r="I46" i="17"/>
  <c r="H46" i="17"/>
  <c r="G46" i="17"/>
  <c r="F46" i="17"/>
  <c r="E46" i="17"/>
  <c r="D46" i="17"/>
  <c r="C46" i="17"/>
  <c r="B46" i="17"/>
  <c r="A46" i="17"/>
  <c r="AH45" i="17"/>
  <c r="A45" i="17" s="1"/>
  <c r="N45" i="17"/>
  <c r="M45" i="17"/>
  <c r="K45" i="17"/>
  <c r="L45" i="17" s="1"/>
  <c r="P45" i="17" s="1"/>
  <c r="J45" i="17"/>
  <c r="D45" i="17"/>
  <c r="C45" i="17"/>
  <c r="B45" i="17"/>
  <c r="AH44" i="17"/>
  <c r="J44" i="17"/>
  <c r="H44" i="17"/>
  <c r="D44" i="17"/>
  <c r="C44" i="17"/>
  <c r="B44" i="17"/>
  <c r="A44" i="17"/>
  <c r="AH43" i="17"/>
  <c r="P43" i="17"/>
  <c r="O43" i="17"/>
  <c r="N43" i="17"/>
  <c r="M43" i="17"/>
  <c r="L43" i="17"/>
  <c r="K43" i="17"/>
  <c r="J43" i="17"/>
  <c r="I43" i="17"/>
  <c r="H43" i="17"/>
  <c r="AR43" i="17" s="1"/>
  <c r="G43" i="17"/>
  <c r="F43" i="17"/>
  <c r="E43" i="17"/>
  <c r="D43" i="17"/>
  <c r="C43" i="17"/>
  <c r="B43" i="17"/>
  <c r="A43" i="17"/>
  <c r="AH42" i="17"/>
  <c r="B42" i="17" s="1"/>
  <c r="J42" i="17"/>
  <c r="F42" i="17"/>
  <c r="C42" i="17"/>
  <c r="I42" i="17" s="1"/>
  <c r="A42" i="17"/>
  <c r="AH41" i="17"/>
  <c r="J41" i="17"/>
  <c r="C41" i="17"/>
  <c r="G41" i="17" s="1"/>
  <c r="B41" i="17"/>
  <c r="A41" i="17"/>
  <c r="AH40" i="17"/>
  <c r="B40" i="17" s="1"/>
  <c r="J40" i="17"/>
  <c r="F40" i="17"/>
  <c r="D40" i="17"/>
  <c r="C40" i="17"/>
  <c r="A40" i="17"/>
  <c r="AH39" i="17"/>
  <c r="B39" i="17" s="1"/>
  <c r="N39" i="17"/>
  <c r="M39" i="17"/>
  <c r="O39" i="17" s="1"/>
  <c r="K39" i="17"/>
  <c r="L39" i="17" s="1"/>
  <c r="P39" i="17" s="1"/>
  <c r="J39" i="17"/>
  <c r="I39" i="17"/>
  <c r="H39" i="17"/>
  <c r="G39" i="17"/>
  <c r="E39" i="17"/>
  <c r="C39" i="17"/>
  <c r="D39" i="17" s="1"/>
  <c r="A39" i="17"/>
  <c r="AH38" i="17"/>
  <c r="J38" i="17"/>
  <c r="H38" i="17"/>
  <c r="C38" i="17"/>
  <c r="B38" i="17"/>
  <c r="A38" i="17"/>
  <c r="AH37" i="17"/>
  <c r="B37" i="17" s="1"/>
  <c r="J37" i="17"/>
  <c r="N37" i="17" s="1"/>
  <c r="F37" i="17"/>
  <c r="E37" i="17"/>
  <c r="C37" i="17"/>
  <c r="A37" i="17"/>
  <c r="AH36" i="17"/>
  <c r="A36" i="17" s="1"/>
  <c r="N36" i="17"/>
  <c r="X36" i="17" s="1"/>
  <c r="M36" i="17"/>
  <c r="K36" i="17"/>
  <c r="L36" i="17" s="1"/>
  <c r="J36" i="17"/>
  <c r="I36" i="17"/>
  <c r="H36" i="17"/>
  <c r="F36" i="17"/>
  <c r="E36" i="17"/>
  <c r="D36" i="17"/>
  <c r="C36" i="17"/>
  <c r="G36" i="17" s="1"/>
  <c r="AR36" i="17" s="1"/>
  <c r="B36" i="17"/>
  <c r="AH35" i="17"/>
  <c r="N35" i="17"/>
  <c r="K35" i="17"/>
  <c r="J35" i="17"/>
  <c r="I35" i="17"/>
  <c r="H35" i="17"/>
  <c r="G35" i="17"/>
  <c r="F35" i="17"/>
  <c r="E35" i="17"/>
  <c r="C35" i="17"/>
  <c r="D35" i="17" s="1"/>
  <c r="B35" i="17"/>
  <c r="A35" i="17"/>
  <c r="J34" i="17"/>
  <c r="I34" i="17"/>
  <c r="H34" i="17"/>
  <c r="E34" i="17"/>
  <c r="C34" i="17"/>
  <c r="G34" i="17" s="1"/>
  <c r="B34" i="17"/>
  <c r="A34" i="17"/>
  <c r="M33" i="17"/>
  <c r="J33" i="17"/>
  <c r="I33" i="17"/>
  <c r="H33" i="17"/>
  <c r="G33" i="17"/>
  <c r="F33" i="17"/>
  <c r="E33" i="17"/>
  <c r="D33" i="17"/>
  <c r="C33" i="17"/>
  <c r="B33" i="17"/>
  <c r="A33" i="17"/>
  <c r="AH32" i="17"/>
  <c r="N32" i="17"/>
  <c r="M32" i="17"/>
  <c r="K32" i="17"/>
  <c r="L32" i="17" s="1"/>
  <c r="J32" i="17"/>
  <c r="I32" i="17"/>
  <c r="G32" i="17"/>
  <c r="F32" i="17"/>
  <c r="E32" i="17"/>
  <c r="O32" i="17" s="1"/>
  <c r="D32" i="17"/>
  <c r="C32" i="17"/>
  <c r="H32" i="17" s="1"/>
  <c r="B32" i="17"/>
  <c r="A32" i="17"/>
  <c r="AH31" i="17"/>
  <c r="B31" i="17" s="1"/>
  <c r="N31" i="17"/>
  <c r="J31" i="17"/>
  <c r="I31" i="17"/>
  <c r="H31" i="17"/>
  <c r="G31" i="17"/>
  <c r="D31" i="17"/>
  <c r="C31" i="17"/>
  <c r="E31" i="17" s="1"/>
  <c r="A31" i="17"/>
  <c r="AH30" i="17"/>
  <c r="A30" i="17" s="1"/>
  <c r="J30" i="17"/>
  <c r="H30" i="17"/>
  <c r="F30" i="17"/>
  <c r="C30" i="17"/>
  <c r="B30" i="17"/>
  <c r="AH29" i="17"/>
  <c r="M29" i="17"/>
  <c r="K29" i="17"/>
  <c r="J29" i="17"/>
  <c r="I29" i="17"/>
  <c r="C29" i="17"/>
  <c r="B29" i="17"/>
  <c r="A29" i="17"/>
  <c r="AH28" i="17"/>
  <c r="B28" i="17" s="1"/>
  <c r="K28" i="17"/>
  <c r="L28" i="17" s="1"/>
  <c r="J28" i="17"/>
  <c r="C28" i="17"/>
  <c r="G28" i="17" s="1"/>
  <c r="A28" i="17"/>
  <c r="AH27" i="17"/>
  <c r="J27" i="17"/>
  <c r="N27" i="17" s="1"/>
  <c r="G27" i="17"/>
  <c r="D27" i="17"/>
  <c r="C27" i="17"/>
  <c r="B27" i="17"/>
  <c r="A27" i="17"/>
  <c r="AH26" i="17"/>
  <c r="B26" i="17" s="1"/>
  <c r="N26" i="17"/>
  <c r="M26" i="17"/>
  <c r="K26" i="17"/>
  <c r="L26" i="17" s="1"/>
  <c r="J26" i="17"/>
  <c r="H26" i="17"/>
  <c r="E26" i="17"/>
  <c r="D26" i="17"/>
  <c r="C26" i="17"/>
  <c r="A26" i="17"/>
  <c r="AH25" i="17"/>
  <c r="B25" i="17" s="1"/>
  <c r="M25" i="17"/>
  <c r="J25" i="17"/>
  <c r="G25" i="17"/>
  <c r="E25" i="17"/>
  <c r="D25" i="17"/>
  <c r="C25" i="17"/>
  <c r="A25" i="17"/>
  <c r="AH24" i="17"/>
  <c r="J24" i="17"/>
  <c r="I24" i="17"/>
  <c r="H24" i="17"/>
  <c r="G24" i="17"/>
  <c r="F24" i="17"/>
  <c r="E24" i="17"/>
  <c r="D24" i="17"/>
  <c r="C24" i="17"/>
  <c r="B24" i="17"/>
  <c r="A24" i="17"/>
  <c r="AH23" i="17"/>
  <c r="N23" i="17"/>
  <c r="M23" i="17"/>
  <c r="L23" i="17"/>
  <c r="P23" i="17" s="1"/>
  <c r="K23" i="17"/>
  <c r="J23" i="17"/>
  <c r="C23" i="17"/>
  <c r="B23" i="17"/>
  <c r="A23" i="17"/>
  <c r="AH22" i="17"/>
  <c r="N22" i="17"/>
  <c r="K22" i="17"/>
  <c r="L22" i="17" s="1"/>
  <c r="P22" i="17" s="1"/>
  <c r="J22" i="17"/>
  <c r="M22" i="17" s="1"/>
  <c r="I22" i="17"/>
  <c r="H22" i="17"/>
  <c r="G22" i="17"/>
  <c r="F22" i="17"/>
  <c r="D22" i="17"/>
  <c r="C22" i="17"/>
  <c r="E22" i="17" s="1"/>
  <c r="B22" i="17"/>
  <c r="A22" i="17"/>
  <c r="AH21" i="17"/>
  <c r="B21" i="17" s="1"/>
  <c r="J21" i="17"/>
  <c r="I21" i="17"/>
  <c r="G21" i="17"/>
  <c r="D21" i="17"/>
  <c r="C21" i="17"/>
  <c r="AH20" i="17"/>
  <c r="N20" i="17"/>
  <c r="J20" i="17"/>
  <c r="K20" i="17" s="1"/>
  <c r="I20" i="17"/>
  <c r="H20" i="17"/>
  <c r="G20" i="17"/>
  <c r="F20" i="17"/>
  <c r="D20" i="17"/>
  <c r="C20" i="17"/>
  <c r="E20" i="17" s="1"/>
  <c r="B20" i="17"/>
  <c r="A20" i="17"/>
  <c r="AH19" i="17"/>
  <c r="B19" i="17" s="1"/>
  <c r="N19" i="17"/>
  <c r="M19" i="17"/>
  <c r="K19" i="17"/>
  <c r="L19" i="17" s="1"/>
  <c r="J19" i="17"/>
  <c r="I19" i="17"/>
  <c r="F19" i="17"/>
  <c r="E19" i="17"/>
  <c r="D19" i="17"/>
  <c r="C19" i="17"/>
  <c r="AH18" i="17"/>
  <c r="B18" i="17" s="1"/>
  <c r="M18" i="17"/>
  <c r="J18" i="17"/>
  <c r="I18" i="17"/>
  <c r="H18" i="17"/>
  <c r="G18" i="17"/>
  <c r="E18" i="17"/>
  <c r="C18" i="17"/>
  <c r="D18" i="17" s="1"/>
  <c r="A18" i="17"/>
  <c r="AH17" i="17"/>
  <c r="N17" i="17"/>
  <c r="M17" i="17"/>
  <c r="K17" i="17"/>
  <c r="L17" i="17" s="1"/>
  <c r="J17" i="17"/>
  <c r="C17" i="17"/>
  <c r="B17" i="17"/>
  <c r="A17" i="17"/>
  <c r="AH16" i="17"/>
  <c r="N16" i="17"/>
  <c r="K16" i="17"/>
  <c r="J16" i="17"/>
  <c r="I16" i="17"/>
  <c r="H16" i="17"/>
  <c r="F16" i="17"/>
  <c r="C16" i="17"/>
  <c r="B16" i="17"/>
  <c r="A16" i="17"/>
  <c r="AH15" i="17"/>
  <c r="P15" i="17"/>
  <c r="N15" i="17"/>
  <c r="M15" i="17"/>
  <c r="K15" i="17"/>
  <c r="O15" i="17" s="1"/>
  <c r="J15" i="17"/>
  <c r="L15" i="17" s="1"/>
  <c r="H15" i="17"/>
  <c r="G15" i="17"/>
  <c r="F15" i="17"/>
  <c r="E15" i="17"/>
  <c r="C15" i="17"/>
  <c r="AH14" i="17"/>
  <c r="A14" i="17" s="1"/>
  <c r="P14" i="17"/>
  <c r="M14" i="17"/>
  <c r="L14" i="17"/>
  <c r="K14" i="17"/>
  <c r="J14" i="17"/>
  <c r="N14" i="17" s="1"/>
  <c r="H14" i="17"/>
  <c r="E14" i="17"/>
  <c r="D14" i="17"/>
  <c r="C14" i="17"/>
  <c r="B14" i="17"/>
  <c r="AH13" i="17"/>
  <c r="J13" i="17"/>
  <c r="I13" i="17"/>
  <c r="H13" i="17"/>
  <c r="G13" i="17"/>
  <c r="E13" i="17"/>
  <c r="C13" i="17"/>
  <c r="D13" i="17" s="1"/>
  <c r="B13" i="17"/>
  <c r="A13" i="17"/>
  <c r="AH12" i="17"/>
  <c r="J12" i="17"/>
  <c r="I12" i="17"/>
  <c r="H12" i="17"/>
  <c r="G12" i="17"/>
  <c r="F12" i="17"/>
  <c r="E12" i="17"/>
  <c r="D12" i="17"/>
  <c r="C12" i="17"/>
  <c r="B12" i="17"/>
  <c r="A12" i="17"/>
  <c r="AH11" i="17"/>
  <c r="O11" i="17"/>
  <c r="N11" i="17"/>
  <c r="L11" i="17"/>
  <c r="P11" i="17" s="1"/>
  <c r="K11" i="17"/>
  <c r="J11" i="17"/>
  <c r="M11" i="17" s="1"/>
  <c r="G11" i="17"/>
  <c r="F11" i="17"/>
  <c r="D11" i="17"/>
  <c r="C11" i="17"/>
  <c r="B11" i="17"/>
  <c r="A11" i="17"/>
  <c r="AH10" i="17"/>
  <c r="B10" i="17" s="1"/>
  <c r="O10" i="17"/>
  <c r="N10" i="17"/>
  <c r="L10" i="17"/>
  <c r="P10" i="17" s="1"/>
  <c r="K10" i="17"/>
  <c r="J10" i="17"/>
  <c r="M10" i="17" s="1"/>
  <c r="C10" i="17"/>
  <c r="A10" i="17"/>
  <c r="AH9" i="17"/>
  <c r="B9" i="17" s="1"/>
  <c r="P9" i="17"/>
  <c r="N9" i="17"/>
  <c r="M9" i="17"/>
  <c r="L9" i="17"/>
  <c r="K9" i="17"/>
  <c r="J9" i="17"/>
  <c r="H9" i="17"/>
  <c r="F9" i="17"/>
  <c r="D9" i="17"/>
  <c r="C9" i="17"/>
  <c r="G9" i="17" s="1"/>
  <c r="AH8" i="17"/>
  <c r="B8" i="17" s="1"/>
  <c r="N8" i="17"/>
  <c r="M8" i="17"/>
  <c r="K8" i="17"/>
  <c r="J8" i="17"/>
  <c r="H8" i="17"/>
  <c r="F8" i="17"/>
  <c r="D8" i="17"/>
  <c r="C8" i="17"/>
  <c r="I8" i="17" s="1"/>
  <c r="R7" i="17"/>
  <c r="Q7" i="17"/>
  <c r="Z93" i="17"/>
  <c r="N93" i="17"/>
  <c r="F93" i="17"/>
  <c r="W92" i="17"/>
  <c r="K92" i="17"/>
  <c r="C92" i="17"/>
  <c r="P91" i="17"/>
  <c r="H91" i="17"/>
  <c r="Y90" i="17"/>
  <c r="M90" i="17"/>
  <c r="E90" i="17"/>
  <c r="R89" i="17"/>
  <c r="J89" i="17"/>
  <c r="B89" i="17"/>
  <c r="X93" i="17"/>
  <c r="L93" i="17"/>
  <c r="D93" i="17"/>
  <c r="Q92" i="17"/>
  <c r="I92" i="17"/>
  <c r="Z91" i="17"/>
  <c r="N91" i="17"/>
  <c r="F91" i="17"/>
  <c r="W90" i="17"/>
  <c r="K90" i="17"/>
  <c r="C90" i="17"/>
  <c r="P89" i="17"/>
  <c r="H89" i="17"/>
  <c r="Q93" i="17"/>
  <c r="I93" i="17"/>
  <c r="Z92" i="17"/>
  <c r="N92" i="17"/>
  <c r="F92" i="17"/>
  <c r="W91" i="17"/>
  <c r="K91" i="17"/>
  <c r="C91" i="17"/>
  <c r="P90" i="17"/>
  <c r="H90" i="17"/>
  <c r="Y89" i="17"/>
  <c r="M89" i="17"/>
  <c r="E89" i="17"/>
  <c r="P93" i="17"/>
  <c r="H93" i="17"/>
  <c r="Y92" i="17"/>
  <c r="M92" i="17"/>
  <c r="E92" i="17"/>
  <c r="R91" i="17"/>
  <c r="J91" i="17"/>
  <c r="B91" i="17"/>
  <c r="O90" i="17"/>
  <c r="G90" i="17"/>
  <c r="X89" i="17"/>
  <c r="L89" i="17"/>
  <c r="D89" i="17"/>
  <c r="Y93" i="17"/>
  <c r="E93" i="17"/>
  <c r="J92" i="17"/>
  <c r="O91" i="17"/>
  <c r="X90" i="17"/>
  <c r="D90" i="17"/>
  <c r="I89" i="17"/>
  <c r="W93" i="17"/>
  <c r="C93" i="17"/>
  <c r="H92" i="17"/>
  <c r="M91" i="17"/>
  <c r="R90" i="17"/>
  <c r="B90" i="17"/>
  <c r="G89" i="17"/>
  <c r="R93" i="17"/>
  <c r="B93" i="17"/>
  <c r="G92" i="17"/>
  <c r="L91" i="17"/>
  <c r="Q90" i="17"/>
  <c r="Z89" i="17"/>
  <c r="F89" i="17"/>
  <c r="J93" i="17"/>
  <c r="O92" i="17"/>
  <c r="X91" i="17"/>
  <c r="D91" i="17"/>
  <c r="I90" i="17"/>
  <c r="N89" i="17"/>
  <c r="O93" i="17"/>
  <c r="D92" i="17"/>
  <c r="N90" i="17"/>
  <c r="C89" i="17"/>
  <c r="M93" i="17"/>
  <c r="B92" i="17"/>
  <c r="L90" i="17"/>
  <c r="K93" i="17"/>
  <c r="Y91" i="17"/>
  <c r="J90" i="17"/>
  <c r="P92" i="17"/>
  <c r="E91" i="17"/>
  <c r="O89" i="17"/>
  <c r="G93" i="17"/>
  <c r="F90" i="17"/>
  <c r="I91" i="17"/>
  <c r="X92" i="17"/>
  <c r="W89" i="17"/>
  <c r="K89" i="17"/>
  <c r="Q91" i="17"/>
  <c r="R92" i="17"/>
  <c r="Q89" i="17"/>
  <c r="L92" i="17"/>
  <c r="G91" i="17"/>
  <c r="Z90" i="17"/>
  <c r="E10" i="17" l="1"/>
  <c r="G10" i="17"/>
  <c r="H10" i="17"/>
  <c r="I10" i="17"/>
  <c r="D10" i="17"/>
  <c r="D87" i="17" s="1"/>
  <c r="E78" i="17" s="1"/>
  <c r="AQ12" i="17"/>
  <c r="W12" i="17" s="1"/>
  <c r="K13" i="17"/>
  <c r="O13" i="17" s="1"/>
  <c r="N13" i="17"/>
  <c r="M13" i="17"/>
  <c r="F10" i="17"/>
  <c r="F87" i="17" s="1"/>
  <c r="K12" i="17"/>
  <c r="O12" i="17" s="1"/>
  <c r="N12" i="17"/>
  <c r="M12" i="17"/>
  <c r="O18" i="17"/>
  <c r="L38" i="17"/>
  <c r="O20" i="17"/>
  <c r="AQ20" i="17" s="1"/>
  <c r="W20" i="17" s="1"/>
  <c r="K33" i="17"/>
  <c r="L33" i="17" s="1"/>
  <c r="N33" i="17"/>
  <c r="K46" i="17"/>
  <c r="M46" i="17"/>
  <c r="N53" i="17"/>
  <c r="M53" i="17"/>
  <c r="L53" i="17"/>
  <c r="P53" i="17" s="1"/>
  <c r="O59" i="17"/>
  <c r="AQ59" i="17" s="1"/>
  <c r="W59" i="17" s="1"/>
  <c r="K71" i="17"/>
  <c r="N71" i="17"/>
  <c r="M71" i="17"/>
  <c r="E8" i="17"/>
  <c r="E9" i="17"/>
  <c r="E11" i="17"/>
  <c r="AQ11" i="17" s="1"/>
  <c r="W11" i="17" s="1"/>
  <c r="H11" i="17"/>
  <c r="G14" i="17"/>
  <c r="F14" i="17"/>
  <c r="AQ14" i="17" s="1"/>
  <c r="W14" i="17" s="1"/>
  <c r="I14" i="17"/>
  <c r="B15" i="17"/>
  <c r="B87" i="17" s="1"/>
  <c r="A15" i="17"/>
  <c r="M16" i="17"/>
  <c r="L16" i="17"/>
  <c r="O23" i="17"/>
  <c r="F25" i="17"/>
  <c r="O25" i="17" s="1"/>
  <c r="I25" i="17"/>
  <c r="H25" i="17"/>
  <c r="P25" i="17" s="1"/>
  <c r="H27" i="17"/>
  <c r="AR27" i="17" s="1"/>
  <c r="F27" i="17"/>
  <c r="E27" i="17"/>
  <c r="I27" i="17"/>
  <c r="L29" i="17"/>
  <c r="N29" i="17"/>
  <c r="I30" i="17"/>
  <c r="E30" i="17"/>
  <c r="D30" i="17"/>
  <c r="G30" i="17"/>
  <c r="M31" i="17"/>
  <c r="K31" i="17"/>
  <c r="O31" i="17" s="1"/>
  <c r="G38" i="17"/>
  <c r="F38" i="17"/>
  <c r="E38" i="17"/>
  <c r="D38" i="17"/>
  <c r="I38" i="17"/>
  <c r="E40" i="17"/>
  <c r="I40" i="17"/>
  <c r="H40" i="17"/>
  <c r="G40" i="17"/>
  <c r="N46" i="17"/>
  <c r="N47" i="17"/>
  <c r="M47" i="17"/>
  <c r="L47" i="17"/>
  <c r="P47" i="17" s="1"/>
  <c r="X51" i="17"/>
  <c r="B52" i="17"/>
  <c r="A52" i="17"/>
  <c r="K53" i="17"/>
  <c r="L57" i="17"/>
  <c r="P57" i="17" s="1"/>
  <c r="AR57" i="17" s="1"/>
  <c r="K57" i="17"/>
  <c r="N57" i="17"/>
  <c r="M57" i="17"/>
  <c r="A60" i="17"/>
  <c r="X62" i="17"/>
  <c r="AR62" i="17"/>
  <c r="A67" i="17"/>
  <c r="H17" i="17"/>
  <c r="H87" i="17" s="1"/>
  <c r="G17" i="17"/>
  <c r="N21" i="17"/>
  <c r="M21" i="17"/>
  <c r="K24" i="17"/>
  <c r="M24" i="17"/>
  <c r="L24" i="17"/>
  <c r="P24" i="17" s="1"/>
  <c r="AR24" i="17" s="1"/>
  <c r="D17" i="17"/>
  <c r="K21" i="17"/>
  <c r="O21" i="17" s="1"/>
  <c r="N24" i="17"/>
  <c r="K44" i="17"/>
  <c r="O68" i="17"/>
  <c r="AQ68" i="17"/>
  <c r="W68" i="17" s="1"/>
  <c r="A21" i="17"/>
  <c r="H23" i="17"/>
  <c r="G23" i="17"/>
  <c r="F23" i="17"/>
  <c r="N30" i="17"/>
  <c r="M30" i="17"/>
  <c r="M34" i="17"/>
  <c r="L34" i="17"/>
  <c r="AQ36" i="17"/>
  <c r="W36" i="17" s="1"/>
  <c r="K38" i="17"/>
  <c r="M40" i="17"/>
  <c r="K40" i="17"/>
  <c r="O40" i="17" s="1"/>
  <c r="M49" i="17"/>
  <c r="N49" i="17"/>
  <c r="K49" i="17"/>
  <c r="O49" i="17" s="1"/>
  <c r="L51" i="17"/>
  <c r="P51" i="17" s="1"/>
  <c r="AR51" i="17" s="1"/>
  <c r="O51" i="17"/>
  <c r="A8" i="17"/>
  <c r="J87" i="17"/>
  <c r="L8" i="17"/>
  <c r="I11" i="17"/>
  <c r="AR11" i="17" s="1"/>
  <c r="E16" i="17"/>
  <c r="D16" i="17"/>
  <c r="G16" i="17"/>
  <c r="F17" i="17"/>
  <c r="A19" i="17"/>
  <c r="L20" i="17"/>
  <c r="P20" i="17" s="1"/>
  <c r="X20" i="17" s="1"/>
  <c r="O22" i="17"/>
  <c r="AQ22" i="17" s="1"/>
  <c r="W22" i="17" s="1"/>
  <c r="D23" i="17"/>
  <c r="N25" i="17"/>
  <c r="K25" i="17"/>
  <c r="L25" i="17" s="1"/>
  <c r="G26" i="17"/>
  <c r="F26" i="17"/>
  <c r="AQ26" i="17" s="1"/>
  <c r="W26" i="17" s="1"/>
  <c r="I26" i="17"/>
  <c r="K27" i="17"/>
  <c r="L27" i="17" s="1"/>
  <c r="K30" i="17"/>
  <c r="L30" i="17" s="1"/>
  <c r="P32" i="17"/>
  <c r="AR32" i="17" s="1"/>
  <c r="X32" i="17"/>
  <c r="K34" i="17"/>
  <c r="X39" i="17"/>
  <c r="AR39" i="17"/>
  <c r="N41" i="17"/>
  <c r="M41" i="17"/>
  <c r="O45" i="17"/>
  <c r="I48" i="17"/>
  <c r="F48" i="17"/>
  <c r="E48" i="17"/>
  <c r="AQ48" i="17" s="1"/>
  <c r="D48" i="17"/>
  <c r="B48" i="17"/>
  <c r="A48" i="17"/>
  <c r="B49" i="17"/>
  <c r="A49" i="17"/>
  <c r="AQ18" i="17"/>
  <c r="W18" i="17" s="1"/>
  <c r="I9" i="17"/>
  <c r="AR9" i="17" s="1"/>
  <c r="X11" i="17"/>
  <c r="E17" i="17"/>
  <c r="O19" i="17"/>
  <c r="AQ19" i="17" s="1"/>
  <c r="W19" i="17" s="1"/>
  <c r="F28" i="17"/>
  <c r="E28" i="17"/>
  <c r="AQ28" i="17" s="1"/>
  <c r="W28" i="17" s="1"/>
  <c r="D28" i="17"/>
  <c r="H28" i="17"/>
  <c r="AR28" i="17" s="1"/>
  <c r="O8" i="17"/>
  <c r="A9" i="17"/>
  <c r="O9" i="17"/>
  <c r="O14" i="17"/>
  <c r="I15" i="17"/>
  <c r="AR15" i="17" s="1"/>
  <c r="D15" i="17"/>
  <c r="I17" i="17"/>
  <c r="H19" i="17"/>
  <c r="G19" i="17"/>
  <c r="F21" i="17"/>
  <c r="E21" i="17"/>
  <c r="H21" i="17"/>
  <c r="E23" i="17"/>
  <c r="AQ23" i="17" s="1"/>
  <c r="W23" i="17" s="1"/>
  <c r="I28" i="17"/>
  <c r="D29" i="17"/>
  <c r="F29" i="17"/>
  <c r="E29" i="17"/>
  <c r="AQ29" i="17" s="1"/>
  <c r="W29" i="17" s="1"/>
  <c r="H29" i="17"/>
  <c r="AQ32" i="17"/>
  <c r="W32" i="17" s="1"/>
  <c r="N34" i="17"/>
  <c r="X34" i="17" s="1"/>
  <c r="N40" i="17"/>
  <c r="K41" i="17"/>
  <c r="N42" i="17"/>
  <c r="M42" i="17"/>
  <c r="G48" i="17"/>
  <c r="B50" i="17"/>
  <c r="M52" i="17"/>
  <c r="N52" i="17"/>
  <c r="K52" i="17"/>
  <c r="I56" i="17"/>
  <c r="H56" i="17"/>
  <c r="G56" i="17"/>
  <c r="D56" i="17"/>
  <c r="D58" i="17"/>
  <c r="G58" i="17"/>
  <c r="F58" i="17"/>
  <c r="I58" i="17"/>
  <c r="H58" i="17"/>
  <c r="E58" i="17"/>
  <c r="AQ58" i="17" s="1"/>
  <c r="L37" i="17"/>
  <c r="K37" i="17"/>
  <c r="N44" i="17"/>
  <c r="M44" i="17"/>
  <c r="O47" i="17"/>
  <c r="M37" i="17"/>
  <c r="O37" i="17" s="1"/>
  <c r="AQ37" i="17" s="1"/>
  <c r="W37" i="17" s="1"/>
  <c r="N38" i="17"/>
  <c r="M38" i="17"/>
  <c r="H41" i="17"/>
  <c r="P41" i="17" s="1"/>
  <c r="F41" i="17"/>
  <c r="E41" i="17"/>
  <c r="D41" i="17"/>
  <c r="I41" i="17"/>
  <c r="C87" i="17"/>
  <c r="G8" i="17"/>
  <c r="X9" i="17"/>
  <c r="AQ15" i="17"/>
  <c r="K18" i="17"/>
  <c r="L18" i="17" s="1"/>
  <c r="N18" i="17"/>
  <c r="P18" i="17" s="1"/>
  <c r="AR22" i="17"/>
  <c r="X22" i="17"/>
  <c r="I23" i="17"/>
  <c r="M27" i="17"/>
  <c r="N28" i="17"/>
  <c r="M28" i="17"/>
  <c r="G29" i="17"/>
  <c r="D37" i="17"/>
  <c r="I37" i="17"/>
  <c r="H37" i="17"/>
  <c r="G37" i="17"/>
  <c r="L41" i="17"/>
  <c r="K42" i="17"/>
  <c r="I45" i="17"/>
  <c r="H45" i="17"/>
  <c r="F45" i="17"/>
  <c r="G45" i="17"/>
  <c r="E45" i="17"/>
  <c r="AQ45" i="17" s="1"/>
  <c r="W45" i="17" s="1"/>
  <c r="H48" i="17"/>
  <c r="B51" i="17"/>
  <c r="A51" i="17"/>
  <c r="E56" i="17"/>
  <c r="AQ56" i="17" s="1"/>
  <c r="W56" i="17" s="1"/>
  <c r="X57" i="17"/>
  <c r="B59" i="17"/>
  <c r="A59" i="17"/>
  <c r="AQ62" i="17"/>
  <c r="W62" i="17" s="1"/>
  <c r="K69" i="17"/>
  <c r="L69" i="17" s="1"/>
  <c r="N69" i="17"/>
  <c r="P69" i="17" s="1"/>
  <c r="M69" i="17"/>
  <c r="F13" i="17"/>
  <c r="AQ13" i="17" s="1"/>
  <c r="W13" i="17" s="1"/>
  <c r="F18" i="17"/>
  <c r="M20" i="17"/>
  <c r="F31" i="17"/>
  <c r="F34" i="17"/>
  <c r="F39" i="17"/>
  <c r="AQ39" i="17" s="1"/>
  <c r="W39" i="17" s="1"/>
  <c r="X43" i="17"/>
  <c r="B65" i="17"/>
  <c r="A65" i="17"/>
  <c r="H74" i="17"/>
  <c r="E74" i="17"/>
  <c r="D74" i="17"/>
  <c r="I74" i="17"/>
  <c r="G74" i="17"/>
  <c r="F74" i="17"/>
  <c r="L35" i="17"/>
  <c r="P35" i="17" s="1"/>
  <c r="X35" i="17" s="1"/>
  <c r="AQ54" i="17"/>
  <c r="W54" i="17" s="1"/>
  <c r="F55" i="17"/>
  <c r="E55" i="17"/>
  <c r="AQ55" i="17" s="1"/>
  <c r="W55" i="17" s="1"/>
  <c r="I55" i="17"/>
  <c r="H55" i="17"/>
  <c r="M67" i="17"/>
  <c r="O67" i="17" s="1"/>
  <c r="N67" i="17"/>
  <c r="F70" i="17"/>
  <c r="D70" i="17"/>
  <c r="I70" i="17"/>
  <c r="H70" i="17"/>
  <c r="G70" i="17"/>
  <c r="E70" i="17"/>
  <c r="AQ70" i="17" s="1"/>
  <c r="W70" i="17" s="1"/>
  <c r="AQ33" i="17"/>
  <c r="W33" i="17" s="1"/>
  <c r="H42" i="17"/>
  <c r="G42" i="17"/>
  <c r="D42" i="17"/>
  <c r="N50" i="17"/>
  <c r="M50" i="17"/>
  <c r="P56" i="17"/>
  <c r="P60" i="17"/>
  <c r="X60" i="17" s="1"/>
  <c r="F64" i="17"/>
  <c r="I64" i="17"/>
  <c r="H64" i="17"/>
  <c r="G64" i="17"/>
  <c r="G73" i="17"/>
  <c r="E73" i="17"/>
  <c r="AQ73" i="17" s="1"/>
  <c r="W73" i="17" s="1"/>
  <c r="I73" i="17"/>
  <c r="D73" i="17"/>
  <c r="O33" i="17"/>
  <c r="D34" i="17"/>
  <c r="M35" i="17"/>
  <c r="E42" i="17"/>
  <c r="AQ43" i="17"/>
  <c r="W43" i="17" s="1"/>
  <c r="F44" i="17"/>
  <c r="E44" i="17"/>
  <c r="I44" i="17"/>
  <c r="G44" i="17"/>
  <c r="L48" i="17"/>
  <c r="P48" i="17" s="1"/>
  <c r="K50" i="17"/>
  <c r="X54" i="17"/>
  <c r="AR54" i="17"/>
  <c r="G55" i="17"/>
  <c r="E61" i="17"/>
  <c r="H61" i="17"/>
  <c r="G61" i="17"/>
  <c r="I61" i="17"/>
  <c r="F61" i="17"/>
  <c r="D64" i="17"/>
  <c r="G65" i="17"/>
  <c r="I65" i="17"/>
  <c r="D65" i="17"/>
  <c r="B66" i="17"/>
  <c r="A66" i="17"/>
  <c r="L67" i="17"/>
  <c r="P67" i="17" s="1"/>
  <c r="D72" i="17"/>
  <c r="G72" i="17"/>
  <c r="F72" i="17"/>
  <c r="I72" i="17"/>
  <c r="H72" i="17"/>
  <c r="E72" i="17"/>
  <c r="F73" i="17"/>
  <c r="L61" i="17"/>
  <c r="K63" i="17"/>
  <c r="N63" i="17"/>
  <c r="M63" i="17"/>
  <c r="M64" i="17"/>
  <c r="X66" i="17"/>
  <c r="AR66" i="17"/>
  <c r="O72" i="17"/>
  <c r="B73" i="17"/>
  <c r="A73" i="17"/>
  <c r="G47" i="17"/>
  <c r="F47" i="17"/>
  <c r="H50" i="17"/>
  <c r="G50" i="17"/>
  <c r="E60" i="17"/>
  <c r="D60" i="17"/>
  <c r="O73" i="17"/>
  <c r="P75" i="17"/>
  <c r="D47" i="17"/>
  <c r="E49" i="17"/>
  <c r="D49" i="17"/>
  <c r="D50" i="17"/>
  <c r="D51" i="17"/>
  <c r="H53" i="17"/>
  <c r="G53" i="17"/>
  <c r="L58" i="17"/>
  <c r="N58" i="17"/>
  <c r="G59" i="17"/>
  <c r="I59" i="17"/>
  <c r="O65" i="17"/>
  <c r="AQ65" i="17" s="1"/>
  <c r="W65" i="17" s="1"/>
  <c r="E67" i="17"/>
  <c r="H67" i="17"/>
  <c r="G67" i="17"/>
  <c r="E47" i="17"/>
  <c r="AQ47" i="17" s="1"/>
  <c r="W47" i="17" s="1"/>
  <c r="E50" i="17"/>
  <c r="E51" i="17"/>
  <c r="AQ51" i="17" s="1"/>
  <c r="W51" i="17" s="1"/>
  <c r="E52" i="17"/>
  <c r="D52" i="17"/>
  <c r="N55" i="17"/>
  <c r="P55" i="17" s="1"/>
  <c r="M55" i="17"/>
  <c r="O55" i="17" s="1"/>
  <c r="O58" i="17"/>
  <c r="K64" i="17"/>
  <c r="E66" i="17"/>
  <c r="AQ66" i="17" s="1"/>
  <c r="D66" i="17"/>
  <c r="X68" i="17"/>
  <c r="N70" i="17"/>
  <c r="L70" i="17"/>
  <c r="P70" i="17" s="1"/>
  <c r="M75" i="17"/>
  <c r="O75" i="17" s="1"/>
  <c r="AQ75" i="17" s="1"/>
  <c r="W75" i="17" s="1"/>
  <c r="K75" i="17"/>
  <c r="L75" i="17" s="1"/>
  <c r="G71" i="17"/>
  <c r="AR21" i="17" l="1"/>
  <c r="M87" i="17"/>
  <c r="AR41" i="17"/>
  <c r="I87" i="17"/>
  <c r="E79" i="17" s="1"/>
  <c r="AR71" i="17"/>
  <c r="W66" i="17"/>
  <c r="M60" i="17"/>
  <c r="O60" i="17"/>
  <c r="AQ60" i="17" s="1"/>
  <c r="W60" i="17" s="1"/>
  <c r="T64" i="17" s="1"/>
  <c r="O64" i="17" s="1"/>
  <c r="AQ64" i="17" s="1"/>
  <c r="W64" i="17" s="1"/>
  <c r="AQ63" i="17"/>
  <c r="W63" i="17" s="1"/>
  <c r="X65" i="17"/>
  <c r="AR65" i="17"/>
  <c r="AR35" i="17"/>
  <c r="L40" i="17"/>
  <c r="P40" i="17" s="1"/>
  <c r="L21" i="17"/>
  <c r="P21" i="17" s="1"/>
  <c r="X21" i="17" s="1"/>
  <c r="O53" i="17"/>
  <c r="AR40" i="17"/>
  <c r="X40" i="17"/>
  <c r="AR38" i="17"/>
  <c r="O30" i="17"/>
  <c r="AQ30" i="17"/>
  <c r="W30" i="17" s="1"/>
  <c r="AQ9" i="17"/>
  <c r="W9" i="17" s="1"/>
  <c r="P33" i="17"/>
  <c r="AR33" i="17" s="1"/>
  <c r="X33" i="17"/>
  <c r="AQ25" i="17"/>
  <c r="W25" i="17" s="1"/>
  <c r="L12" i="17"/>
  <c r="P12" i="17" s="1"/>
  <c r="AR12" i="17" s="1"/>
  <c r="L13" i="17"/>
  <c r="P13" i="17" s="1"/>
  <c r="AR73" i="17"/>
  <c r="X73" i="17"/>
  <c r="AR34" i="17"/>
  <c r="X24" i="17"/>
  <c r="AR60" i="17"/>
  <c r="W48" i="17"/>
  <c r="X15" i="17"/>
  <c r="AQ53" i="17"/>
  <c r="W53" i="17" s="1"/>
  <c r="P59" i="17"/>
  <c r="AR59" i="17" s="1"/>
  <c r="P37" i="17"/>
  <c r="X37" i="17" s="1"/>
  <c r="AR37" i="17"/>
  <c r="AQ21" i="17"/>
  <c r="W21" i="17" s="1"/>
  <c r="X69" i="17"/>
  <c r="O24" i="17"/>
  <c r="AQ24" i="17" s="1"/>
  <c r="W24" i="17" s="1"/>
  <c r="AR25" i="17"/>
  <c r="L31" i="17"/>
  <c r="P31" i="17" s="1"/>
  <c r="AR20" i="17"/>
  <c r="O71" i="17"/>
  <c r="AQ71" i="17" s="1"/>
  <c r="W71" i="17" s="1"/>
  <c r="N87" i="17"/>
  <c r="O42" i="17"/>
  <c r="AQ42" i="17" s="1"/>
  <c r="W42" i="17" s="1"/>
  <c r="L42" i="17"/>
  <c r="P42" i="17" s="1"/>
  <c r="AR29" i="17"/>
  <c r="X29" i="17"/>
  <c r="G87" i="17"/>
  <c r="AR8" i="17"/>
  <c r="AR56" i="17"/>
  <c r="X56" i="17"/>
  <c r="X48" i="17"/>
  <c r="AR48" i="17"/>
  <c r="L49" i="17"/>
  <c r="P49" i="17" s="1"/>
  <c r="P38" i="17"/>
  <c r="X38" i="17" s="1"/>
  <c r="W58" i="17"/>
  <c r="AQ40" i="17"/>
  <c r="W40" i="17" s="1"/>
  <c r="P19" i="17"/>
  <c r="X19" i="17" s="1"/>
  <c r="AR67" i="17"/>
  <c r="X67" i="17"/>
  <c r="X47" i="17"/>
  <c r="AR47" i="17"/>
  <c r="AR69" i="17"/>
  <c r="X45" i="17"/>
  <c r="AR45" i="17"/>
  <c r="O41" i="17"/>
  <c r="AQ41" i="17" s="1"/>
  <c r="W41" i="17" s="1"/>
  <c r="O17" i="17"/>
  <c r="O16" i="17" s="1"/>
  <c r="AQ17" i="17"/>
  <c r="W17" i="17" s="1"/>
  <c r="O34" i="17"/>
  <c r="AR26" i="17"/>
  <c r="O44" i="17"/>
  <c r="AQ44" i="17" s="1"/>
  <c r="W44" i="17" s="1"/>
  <c r="AQ27" i="17"/>
  <c r="W27" i="17" s="1"/>
  <c r="AR14" i="17"/>
  <c r="X14" i="17"/>
  <c r="L71" i="17"/>
  <c r="P71" i="17" s="1"/>
  <c r="X71" i="17" s="1"/>
  <c r="O46" i="17"/>
  <c r="AQ46" i="17" s="1"/>
  <c r="W46" i="17" s="1"/>
  <c r="X41" i="17"/>
  <c r="L44" i="17"/>
  <c r="P44" i="17" s="1"/>
  <c r="AR44" i="17" s="1"/>
  <c r="X10" i="17"/>
  <c r="AR10" i="17"/>
  <c r="AR55" i="17"/>
  <c r="X55" i="17"/>
  <c r="L64" i="17"/>
  <c r="X72" i="17"/>
  <c r="AR72" i="17"/>
  <c r="AR70" i="17"/>
  <c r="X70" i="17"/>
  <c r="P74" i="17"/>
  <c r="X74" i="17" s="1"/>
  <c r="AR74" i="17"/>
  <c r="O69" i="17"/>
  <c r="AQ69" i="17"/>
  <c r="W69" i="17" s="1"/>
  <c r="AQ8" i="17"/>
  <c r="W8" i="17" s="1"/>
  <c r="O63" i="17"/>
  <c r="L63" i="17"/>
  <c r="P63" i="17" s="1"/>
  <c r="AR63" i="17" s="1"/>
  <c r="O50" i="17"/>
  <c r="AQ50" i="17" s="1"/>
  <c r="W50" i="17" s="1"/>
  <c r="L50" i="17"/>
  <c r="P50" i="17" s="1"/>
  <c r="X50" i="17" s="1"/>
  <c r="AR46" i="17"/>
  <c r="L87" i="17"/>
  <c r="P8" i="17"/>
  <c r="AQ49" i="17"/>
  <c r="W49" i="17" s="1"/>
  <c r="O35" i="17"/>
  <c r="AQ35" i="17" s="1"/>
  <c r="W35" i="17" s="1"/>
  <c r="P61" i="17"/>
  <c r="AR61" i="17" s="1"/>
  <c r="X61" i="17"/>
  <c r="U64" i="17" s="1"/>
  <c r="X42" i="17"/>
  <c r="AR42" i="17"/>
  <c r="O74" i="17"/>
  <c r="AQ74" i="17" s="1"/>
  <c r="W74" i="17" s="1"/>
  <c r="AQ31" i="17"/>
  <c r="W31" i="17" s="1"/>
  <c r="O52" i="17"/>
  <c r="AQ52" i="17" s="1"/>
  <c r="W52" i="17" s="1"/>
  <c r="AR18" i="17"/>
  <c r="P58" i="17"/>
  <c r="X58" i="17" s="1"/>
  <c r="AR75" i="17"/>
  <c r="X75" i="17"/>
  <c r="AQ72" i="17"/>
  <c r="W72" i="17" s="1"/>
  <c r="X44" i="17"/>
  <c r="AQ67" i="17"/>
  <c r="W67" i="17" s="1"/>
  <c r="X53" i="17"/>
  <c r="AR53" i="17"/>
  <c r="O61" i="17"/>
  <c r="AQ61" i="17"/>
  <c r="W61" i="17" s="1"/>
  <c r="P46" i="17"/>
  <c r="X46" i="17" s="1"/>
  <c r="W15" i="17"/>
  <c r="L52" i="17"/>
  <c r="P52" i="17" s="1"/>
  <c r="AR52" i="17" s="1"/>
  <c r="K87" i="17"/>
  <c r="O38" i="17"/>
  <c r="X23" i="17"/>
  <c r="AR23" i="17"/>
  <c r="P17" i="17"/>
  <c r="P16" i="17" s="1"/>
  <c r="AR17" i="17"/>
  <c r="O57" i="17"/>
  <c r="AQ57" i="17" s="1"/>
  <c r="W57" i="17" s="1"/>
  <c r="AQ38" i="17"/>
  <c r="W38" i="17" s="1"/>
  <c r="P30" i="17"/>
  <c r="AR30" i="17" s="1"/>
  <c r="L46" i="17"/>
  <c r="AQ10" i="17"/>
  <c r="W10" i="17" s="1"/>
  <c r="AQ16" i="17" l="1"/>
  <c r="W16" i="17" s="1"/>
  <c r="O87" i="17"/>
  <c r="AR16" i="17"/>
  <c r="X16" i="17"/>
  <c r="X52" i="17"/>
  <c r="P87" i="17"/>
  <c r="X59" i="17"/>
  <c r="U50" i="17" s="1"/>
  <c r="AR58" i="17"/>
  <c r="X8" i="17"/>
  <c r="AR50" i="17"/>
  <c r="E80" i="17"/>
  <c r="E87" i="17" s="1"/>
  <c r="P64" i="17"/>
  <c r="AR19" i="17"/>
  <c r="AR31" i="17"/>
  <c r="X31" i="17"/>
  <c r="AQ34" i="17"/>
  <c r="W34" i="17" s="1"/>
  <c r="W87" i="17" s="1"/>
  <c r="X12" i="17"/>
  <c r="X49" i="17"/>
  <c r="AR49" i="17"/>
  <c r="AR13" i="17"/>
  <c r="X13" i="17"/>
  <c r="X63" i="17"/>
  <c r="AR64" i="17" l="1"/>
  <c r="X64" i="17"/>
  <c r="X87" i="17"/>
  <c r="G3" i="14" l="1"/>
  <c r="M3" i="14" s="1"/>
  <c r="D3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4" i="14"/>
  <c r="D5" i="14"/>
  <c r="K5" i="14" s="1"/>
  <c r="D6" i="14"/>
  <c r="K6" i="14" s="1"/>
  <c r="D7" i="14"/>
  <c r="K7" i="14" s="1"/>
  <c r="D8" i="14"/>
  <c r="K8" i="14" s="1"/>
  <c r="D9" i="14"/>
  <c r="K9" i="14" s="1"/>
  <c r="D10" i="14"/>
  <c r="K10" i="14" s="1"/>
  <c r="D11" i="14"/>
  <c r="K11" i="14" s="1"/>
  <c r="D12" i="14"/>
  <c r="K12" i="14" s="1"/>
  <c r="D13" i="14"/>
  <c r="K13" i="14" s="1"/>
  <c r="D14" i="14"/>
  <c r="K14" i="14" s="1"/>
  <c r="D15" i="14"/>
  <c r="K15" i="14" s="1"/>
  <c r="D16" i="14"/>
  <c r="K16" i="14" s="1"/>
  <c r="D17" i="14"/>
  <c r="K17" i="14" s="1"/>
  <c r="D18" i="14"/>
  <c r="K18" i="14" s="1"/>
  <c r="D19" i="14"/>
  <c r="K19" i="14" s="1"/>
  <c r="D20" i="14"/>
  <c r="K20" i="14" s="1"/>
  <c r="D21" i="14"/>
  <c r="K21" i="14" s="1"/>
  <c r="D22" i="14"/>
  <c r="K22" i="14" s="1"/>
  <c r="D23" i="14"/>
  <c r="K23" i="14" s="1"/>
  <c r="D24" i="14"/>
  <c r="K24" i="14" s="1"/>
  <c r="D25" i="14"/>
  <c r="K25" i="14" s="1"/>
  <c r="D26" i="14"/>
  <c r="K26" i="14" s="1"/>
  <c r="D27" i="14"/>
  <c r="K27" i="14" s="1"/>
  <c r="D28" i="14"/>
  <c r="K28" i="14" s="1"/>
  <c r="D29" i="14"/>
  <c r="K29" i="14" s="1"/>
  <c r="D30" i="14"/>
  <c r="K30" i="14" s="1"/>
  <c r="D31" i="14"/>
  <c r="K31" i="14" s="1"/>
  <c r="D32" i="14"/>
  <c r="K32" i="14" s="1"/>
  <c r="D33" i="14"/>
  <c r="K33" i="14" s="1"/>
  <c r="D34" i="14"/>
  <c r="K34" i="14" s="1"/>
  <c r="D35" i="14"/>
  <c r="K35" i="14" s="1"/>
  <c r="D36" i="14"/>
  <c r="K36" i="14" s="1"/>
  <c r="D37" i="14"/>
  <c r="K37" i="14" s="1"/>
  <c r="D38" i="14"/>
  <c r="K38" i="14" s="1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4" i="14"/>
  <c r="K4" i="14" s="1"/>
  <c r="G5" i="14"/>
  <c r="M5" i="14" s="1"/>
  <c r="G6" i="14"/>
  <c r="M6" i="14" s="1"/>
  <c r="G7" i="14"/>
  <c r="M7" i="14" s="1"/>
  <c r="G8" i="14"/>
  <c r="M8" i="14" s="1"/>
  <c r="G9" i="14"/>
  <c r="M9" i="14" s="1"/>
  <c r="G10" i="14"/>
  <c r="M10" i="14" s="1"/>
  <c r="G11" i="14"/>
  <c r="M11" i="14" s="1"/>
  <c r="G12" i="14"/>
  <c r="M12" i="14" s="1"/>
  <c r="G13" i="14"/>
  <c r="M13" i="14" s="1"/>
  <c r="G14" i="14"/>
  <c r="M14" i="14" s="1"/>
  <c r="G15" i="14"/>
  <c r="M15" i="14" s="1"/>
  <c r="G16" i="14"/>
  <c r="M16" i="14" s="1"/>
  <c r="G17" i="14"/>
  <c r="M17" i="14" s="1"/>
  <c r="G18" i="14"/>
  <c r="M18" i="14" s="1"/>
  <c r="G19" i="14"/>
  <c r="M19" i="14" s="1"/>
  <c r="G20" i="14"/>
  <c r="M20" i="14" s="1"/>
  <c r="G21" i="14"/>
  <c r="M21" i="14" s="1"/>
  <c r="G22" i="14"/>
  <c r="M22" i="14" s="1"/>
  <c r="G23" i="14"/>
  <c r="M23" i="14" s="1"/>
  <c r="G24" i="14"/>
  <c r="M24" i="14" s="1"/>
  <c r="G25" i="14"/>
  <c r="M25" i="14" s="1"/>
  <c r="G26" i="14"/>
  <c r="M26" i="14" s="1"/>
  <c r="G27" i="14"/>
  <c r="M27" i="14" s="1"/>
  <c r="G28" i="14"/>
  <c r="M28" i="14" s="1"/>
  <c r="G29" i="14"/>
  <c r="M29" i="14" s="1"/>
  <c r="G30" i="14"/>
  <c r="M30" i="14" s="1"/>
  <c r="G31" i="14"/>
  <c r="M31" i="14" s="1"/>
  <c r="G32" i="14"/>
  <c r="M32" i="14" s="1"/>
  <c r="G33" i="14"/>
  <c r="M33" i="14" s="1"/>
  <c r="G34" i="14"/>
  <c r="M34" i="14" s="1"/>
  <c r="G35" i="14"/>
  <c r="M35" i="14" s="1"/>
  <c r="G36" i="14"/>
  <c r="M36" i="14" s="1"/>
  <c r="G37" i="14"/>
  <c r="M37" i="14" s="1"/>
  <c r="G38" i="14"/>
  <c r="M38" i="14" s="1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4" i="14"/>
  <c r="M4" i="14" s="1"/>
</calcChain>
</file>

<file path=xl/sharedStrings.xml><?xml version="1.0" encoding="utf-8"?>
<sst xmlns="http://schemas.openxmlformats.org/spreadsheetml/2006/main" count="144" uniqueCount="120">
  <si>
    <t>HINTCAD5.83_HDM_SHUJU</t>
  </si>
  <si>
    <t>路基宽度</t>
  </si>
  <si>
    <t>支挡类型</t>
  </si>
  <si>
    <t>路肩墙</t>
  </si>
  <si>
    <t>起始桩号</t>
  </si>
  <si>
    <t>终止桩号</t>
  </si>
  <si>
    <t>左右侧</t>
  </si>
  <si>
    <t>长度</t>
  </si>
  <si>
    <t>平均高度(不含地面以下高度)</t>
  </si>
  <si>
    <t xml:space="preserve">  QHSJ.DAT</t>
  </si>
  <si>
    <t>土   方</t>
  </si>
  <si>
    <t>石    方</t>
  </si>
  <si>
    <t>弃土场容量</t>
    <phoneticPr fontId="2" type="noConversion"/>
  </si>
  <si>
    <t>上路桩号</t>
    <phoneticPr fontId="2" type="noConversion"/>
  </si>
  <si>
    <t>起点</t>
    <phoneticPr fontId="2" type="noConversion"/>
  </si>
  <si>
    <t>止点</t>
    <phoneticPr fontId="2" type="noConversion"/>
  </si>
  <si>
    <t>弃土场上路桩号</t>
  </si>
  <si>
    <t>弃土场容量</t>
  </si>
  <si>
    <t>弃土量</t>
  </si>
  <si>
    <t>弃石量</t>
  </si>
  <si>
    <t>弃土起始桩号</t>
  </si>
  <si>
    <t>弃土终止桩号</t>
  </si>
  <si>
    <t>运距</t>
    <phoneticPr fontId="2" type="noConversion"/>
  </si>
  <si>
    <t>弃土运量/(m3×Km)</t>
  </si>
  <si>
    <t>土方段落</t>
    <phoneticPr fontId="2" type="noConversion"/>
  </si>
  <si>
    <t>分段起始桩号</t>
    <phoneticPr fontId="2" type="noConversion"/>
  </si>
  <si>
    <t>终止桩号</t>
    <phoneticPr fontId="2" type="noConversion"/>
  </si>
  <si>
    <t>弃土方</t>
    <phoneticPr fontId="2" type="noConversion"/>
  </si>
  <si>
    <t>弃石方</t>
    <phoneticPr fontId="2" type="noConversion"/>
  </si>
  <si>
    <t>B线对应K线</t>
  </si>
  <si>
    <t>C线对应K线</t>
  </si>
  <si>
    <t>比较线D线对应K线</t>
  </si>
  <si>
    <t>比较线E线对应K线</t>
  </si>
  <si>
    <t>G653道真县卡门至玉溪公路改扩建工程（推荐线K线）</t>
    <phoneticPr fontId="21" type="noConversion"/>
  </si>
  <si>
    <t>起 讫 桩 号</t>
    <phoneticPr fontId="21" type="noConversion"/>
  </si>
  <si>
    <t>长 度(m)</t>
    <phoneticPr fontId="21" type="noConversion"/>
  </si>
  <si>
    <r>
      <t>挖    方 (m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)</t>
    </r>
    <phoneticPr fontId="21" type="noConversion"/>
  </si>
  <si>
    <r>
      <t>填    方(m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)</t>
    </r>
    <phoneticPr fontId="21" type="noConversion"/>
  </si>
  <si>
    <t>本桩利用</t>
    <phoneticPr fontId="21" type="noConversion"/>
  </si>
  <si>
    <t>远  运  利  用(挖余)</t>
    <phoneticPr fontId="21" type="noConversion"/>
  </si>
  <si>
    <t>借    方(填缺)</t>
    <phoneticPr fontId="21" type="noConversion"/>
  </si>
  <si>
    <t>废    方</t>
    <phoneticPr fontId="21" type="noConversion"/>
  </si>
  <si>
    <t>备                  注</t>
  </si>
  <si>
    <t>总体积</t>
  </si>
  <si>
    <t>土       方</t>
  </si>
  <si>
    <t>石        方</t>
  </si>
  <si>
    <t>总数量</t>
  </si>
  <si>
    <t>土  方</t>
    <phoneticPr fontId="21" type="noConversion"/>
  </si>
  <si>
    <t>石 方</t>
    <phoneticPr fontId="21" type="noConversion"/>
  </si>
  <si>
    <t>土 方</t>
    <phoneticPr fontId="21" type="noConversion"/>
  </si>
  <si>
    <t>土 方</t>
  </si>
  <si>
    <t>石  方</t>
  </si>
  <si>
    <r>
      <t>运量(m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×Km)</t>
    </r>
    <phoneticPr fontId="21" type="noConversion"/>
  </si>
  <si>
    <t>土  方</t>
  </si>
  <si>
    <t xml:space="preserve">平均运距 </t>
  </si>
  <si>
    <t>松土</t>
  </si>
  <si>
    <t>普通土</t>
  </si>
  <si>
    <t>硬土</t>
  </si>
  <si>
    <t>软石</t>
  </si>
  <si>
    <t>次坚石</t>
  </si>
  <si>
    <t>坚石</t>
  </si>
  <si>
    <r>
      <t>（m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）</t>
    </r>
  </si>
  <si>
    <r>
      <t>（m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）</t>
    </r>
    <phoneticPr fontId="21" type="noConversion"/>
  </si>
  <si>
    <r>
      <t>(m</t>
    </r>
    <r>
      <rPr>
        <b/>
        <vertAlign val="superscript"/>
        <sz val="11"/>
        <rFont val="宋体"/>
        <family val="3"/>
        <charset val="134"/>
        <scheme val="minor"/>
      </rPr>
      <t>3</t>
    </r>
    <r>
      <rPr>
        <b/>
        <sz val="11"/>
        <rFont val="宋体"/>
        <family val="3"/>
        <charset val="134"/>
        <scheme val="minor"/>
      </rPr>
      <t>)</t>
    </r>
  </si>
  <si>
    <t>(Km)</t>
  </si>
  <si>
    <t>土方</t>
    <phoneticPr fontId="21" type="noConversion"/>
  </si>
  <si>
    <t>石方</t>
    <phoneticPr fontId="21" type="noConversion"/>
  </si>
  <si>
    <t>推荐线K线</t>
    <phoneticPr fontId="21" type="noConversion"/>
  </si>
  <si>
    <t>挖方</t>
    <phoneticPr fontId="21" type="noConversion"/>
  </si>
  <si>
    <t>填方</t>
    <phoneticPr fontId="21" type="noConversion"/>
  </si>
  <si>
    <t>土石成份</t>
    <phoneticPr fontId="21" type="noConversion"/>
  </si>
  <si>
    <t>说明：</t>
    <phoneticPr fontId="21" type="noConversion"/>
  </si>
  <si>
    <t>推荐线K线合计</t>
    <phoneticPr fontId="21" type="noConversion"/>
  </si>
  <si>
    <t>A线对应K线</t>
    <phoneticPr fontId="21" type="noConversion"/>
  </si>
  <si>
    <t>路  基  每  公  里  土  石  方  数  量  表</t>
    <phoneticPr fontId="21" type="noConversion"/>
  </si>
  <si>
    <t>//[</t>
  </si>
  <si>
    <t>桩</t>
  </si>
  <si>
    <t>号</t>
  </si>
  <si>
    <t>]</t>
  </si>
  <si>
    <t>[挖方面积]</t>
  </si>
  <si>
    <t>[填方面积]</t>
  </si>
  <si>
    <t>[中桩填挖]</t>
  </si>
  <si>
    <t>[路基左宽]</t>
  </si>
  <si>
    <t>[路基右宽]</t>
  </si>
  <si>
    <t>[基缘左高]</t>
  </si>
  <si>
    <t>[基缘右高]</t>
  </si>
  <si>
    <t>[左坡脚距]</t>
  </si>
  <si>
    <t>[右坡脚距]</t>
  </si>
  <si>
    <t>[左坡脚高]</t>
  </si>
  <si>
    <t>[右坡脚高]</t>
  </si>
  <si>
    <t>[左沟缘距]</t>
  </si>
  <si>
    <t>[右沟缘距][左护坡道宽][右护坡道宽][左沟底高][右沟底高]</t>
  </si>
  <si>
    <t>[左沟心距]</t>
  </si>
  <si>
    <t>[右沟心距]</t>
  </si>
  <si>
    <t>[左沟深度]</t>
  </si>
  <si>
    <t>[右沟深度]</t>
  </si>
  <si>
    <t>[左用地宽]</t>
  </si>
  <si>
    <t>[右用地宽]</t>
  </si>
  <si>
    <t>[清表面积]</t>
  </si>
  <si>
    <t>[顶超面积]</t>
  </si>
  <si>
    <t>[左超面积]</t>
  </si>
  <si>
    <t>[右超面积]</t>
  </si>
  <si>
    <t>[计排水沟][左沟面积填][左沟面积挖][右沟面积填][右沟面积挖][路槽面积填][路槽面积挖][清表宽度][清表厚度][挖1类面积][挖2类面积][挖3类面积][挖4类面积][挖5类面积][挖6类面积][左路槽B]</t>
  </si>
  <si>
    <t>[右路槽B]</t>
  </si>
  <si>
    <t>[左路槽C]</t>
  </si>
  <si>
    <t>[右路槽C]</t>
  </si>
  <si>
    <t>[左垫层]</t>
  </si>
  <si>
    <t>[右垫层]</t>
  </si>
  <si>
    <t>[左路床]</t>
  </si>
  <si>
    <t>[右路床][左土肩培土][右土肩培土][左包边土]</t>
  </si>
  <si>
    <t>[右包边土][左边沟回填][右边沟回填][左截沟填][左截沟挖][右截沟填][右截沟挖][挖台阶面积][填1类面积][填2类面积][填3类面积][填4类面积][填5类面积][填6类面积][弃1类面积][弃2类面积][弃3类面积][弃4类面积][弃5类面积][弃6类面积]</t>
  </si>
  <si>
    <t>HINTCAD6.00_TF_SHUJU</t>
  </si>
  <si>
    <t>梅江大桥</t>
  </si>
  <si>
    <t>NULL</t>
  </si>
  <si>
    <t>桩号</t>
    <phoneticPr fontId="2" type="noConversion"/>
  </si>
  <si>
    <t>宽度</t>
    <phoneticPr fontId="2" type="noConversion"/>
  </si>
  <si>
    <t>高程</t>
    <phoneticPr fontId="2" type="noConversion"/>
  </si>
  <si>
    <t>坡比</t>
    <phoneticPr fontId="2" type="noConversion"/>
  </si>
  <si>
    <t>高差</t>
    <phoneticPr fontId="2" type="noConversion"/>
  </si>
  <si>
    <t>左右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</si>
</sst>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6" formatCode="0.000"/>
    <numFmt numFmtId="177" formatCode="0_ "/>
    <numFmt numFmtId="178" formatCode="0.000_ "/>
    <numFmt numFmtId="179" formatCode="0.0_ "/>
    <numFmt numFmtId="180" formatCode="0.0"/>
    <numFmt numFmtId="181" formatCode="0.00_ "/>
  </numFmts>
  <fonts count="32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rgb="FFFF0000"/>
      <name val="Times New Roman"/>
      <family val="1"/>
    </font>
    <font>
      <sz val="9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2"/>
      <name val="宋体"/>
      <charset val="134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8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4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.5"/>
      <name val="宋体"/>
      <family val="3"/>
      <charset val="134"/>
      <scheme val="minor"/>
    </font>
    <font>
      <b/>
      <sz val="10.5"/>
      <name val="宋体"/>
      <family val="3"/>
      <charset val="134"/>
      <scheme val="minor"/>
    </font>
    <font>
      <b/>
      <vertAlign val="superscript"/>
      <sz val="11"/>
      <name val="宋体"/>
      <family val="3"/>
      <charset val="134"/>
      <scheme val="minor"/>
    </font>
    <font>
      <sz val="9"/>
      <color theme="0"/>
      <name val="宋体"/>
      <family val="3"/>
      <charset val="134"/>
      <scheme val="minor"/>
    </font>
    <font>
      <sz val="8"/>
      <name val="宋体"/>
      <family val="3"/>
      <charset val="134"/>
      <scheme val="minor"/>
    </font>
    <font>
      <sz val="8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00B0F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7" fillId="0" borderId="0"/>
    <xf numFmtId="0" fontId="18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1" fillId="0" borderId="0" xfId="0" applyFont="1">
      <alignment vertical="center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1" xfId="0" applyFont="1" applyBorder="1" applyAlignment="1">
      <alignment horizontal="center" vertical="center"/>
    </xf>
    <xf numFmtId="177" fontId="5" fillId="0" borderId="2" xfId="0" applyNumberFormat="1" applyFont="1" applyBorder="1" applyAlignment="1">
      <alignment horizontal="center" vertical="center"/>
    </xf>
    <xf numFmtId="0" fontId="0" fillId="0" borderId="0" xfId="0" applyAlignment="1"/>
    <xf numFmtId="0" fontId="0" fillId="0" borderId="0" xfId="0" applyFill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79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0" fontId="20" fillId="0" borderId="0" xfId="11" applyFont="1" applyAlignment="1">
      <alignment horizontal="center"/>
    </xf>
    <xf numFmtId="0" fontId="8" fillId="0" borderId="0" xfId="11" applyFont="1"/>
    <xf numFmtId="0" fontId="22" fillId="0" borderId="0" xfId="11" applyFont="1" applyAlignment="1">
      <alignment horizontal="justify"/>
    </xf>
    <xf numFmtId="0" fontId="16" fillId="0" borderId="0" xfId="11" applyFont="1" applyAlignment="1">
      <alignment horizontal="center"/>
    </xf>
    <xf numFmtId="0" fontId="23" fillId="0" borderId="0" xfId="11" applyFont="1" applyBorder="1" applyAlignment="1">
      <alignment horizontal="left"/>
    </xf>
    <xf numFmtId="0" fontId="24" fillId="0" borderId="0" xfId="11" applyFont="1" applyBorder="1" applyAlignment="1"/>
    <xf numFmtId="0" fontId="23" fillId="0" borderId="0" xfId="11" applyFont="1" applyBorder="1" applyAlignment="1">
      <alignment horizontal="right"/>
    </xf>
    <xf numFmtId="0" fontId="25" fillId="0" borderId="12" xfId="11" applyFont="1" applyBorder="1" applyAlignment="1">
      <alignment horizontal="center" vertical="center" wrapText="1"/>
    </xf>
    <xf numFmtId="0" fontId="16" fillId="0" borderId="3" xfId="11" applyFont="1" applyBorder="1" applyAlignment="1">
      <alignment horizontal="center" vertical="center" wrapText="1"/>
    </xf>
    <xf numFmtId="0" fontId="16" fillId="0" borderId="4" xfId="11" applyFont="1" applyBorder="1" applyAlignment="1">
      <alignment horizontal="center" vertical="center" wrapText="1"/>
    </xf>
    <xf numFmtId="0" fontId="16" fillId="0" borderId="0" xfId="11" applyFont="1"/>
    <xf numFmtId="0" fontId="25" fillId="0" borderId="1" xfId="11" applyFont="1" applyBorder="1" applyAlignment="1">
      <alignment horizontal="center" vertical="center" wrapText="1"/>
    </xf>
    <xf numFmtId="0" fontId="16" fillId="0" borderId="2" xfId="11" applyFont="1" applyBorder="1" applyAlignment="1">
      <alignment horizontal="center" vertical="center" wrapText="1"/>
    </xf>
    <xf numFmtId="0" fontId="25" fillId="0" borderId="2" xfId="11" applyFont="1" applyBorder="1" applyAlignment="1">
      <alignment horizontal="center" vertical="center" wrapText="1"/>
    </xf>
    <xf numFmtId="0" fontId="16" fillId="0" borderId="2" xfId="11" applyFont="1" applyBorder="1" applyAlignment="1">
      <alignment horizontal="center" vertical="center" wrapText="1"/>
    </xf>
    <xf numFmtId="0" fontId="16" fillId="0" borderId="6" xfId="11" applyFont="1" applyBorder="1" applyAlignment="1">
      <alignment horizontal="center" vertical="center" wrapText="1"/>
    </xf>
    <xf numFmtId="0" fontId="16" fillId="0" borderId="8" xfId="11" applyFont="1" applyBorder="1" applyAlignment="1">
      <alignment horizontal="center" vertical="center" wrapText="1"/>
    </xf>
    <xf numFmtId="0" fontId="16" fillId="0" borderId="7" xfId="11" applyFont="1" applyBorder="1" applyAlignment="1">
      <alignment horizontal="center" vertical="center" wrapText="1"/>
    </xf>
    <xf numFmtId="0" fontId="16" fillId="0" borderId="2" xfId="11" applyFont="1" applyBorder="1" applyAlignment="1">
      <alignment horizontal="center" vertical="center"/>
    </xf>
    <xf numFmtId="0" fontId="7" fillId="0" borderId="1" xfId="11" applyFont="1" applyBorder="1" applyAlignment="1">
      <alignment horizontal="center" vertical="center" wrapText="1"/>
    </xf>
    <xf numFmtId="177" fontId="7" fillId="0" borderId="2" xfId="11" applyNumberFormat="1" applyFont="1" applyBorder="1" applyAlignment="1">
      <alignment horizontal="center" vertical="center" wrapText="1"/>
    </xf>
    <xf numFmtId="178" fontId="7" fillId="0" borderId="2" xfId="11" applyNumberFormat="1" applyFont="1" applyBorder="1" applyAlignment="1">
      <alignment horizontal="center" vertical="center" wrapText="1"/>
    </xf>
    <xf numFmtId="178" fontId="7" fillId="0" borderId="2" xfId="11" applyNumberFormat="1" applyFont="1" applyBorder="1" applyAlignment="1">
      <alignment horizontal="center" wrapText="1"/>
    </xf>
    <xf numFmtId="179" fontId="7" fillId="0" borderId="7" xfId="11" applyNumberFormat="1" applyFont="1" applyBorder="1" applyAlignment="1">
      <alignment horizontal="center" wrapText="1"/>
    </xf>
    <xf numFmtId="177" fontId="8" fillId="0" borderId="0" xfId="11" applyNumberFormat="1" applyFont="1"/>
    <xf numFmtId="0" fontId="8" fillId="0" borderId="0" xfId="11" applyFont="1" applyAlignment="1">
      <alignment horizontal="center"/>
    </xf>
    <xf numFmtId="177" fontId="27" fillId="0" borderId="2" xfId="11" applyNumberFormat="1" applyFont="1" applyBorder="1" applyAlignment="1">
      <alignment horizontal="center" vertical="center" wrapText="1"/>
    </xf>
    <xf numFmtId="178" fontId="27" fillId="0" borderId="2" xfId="11" applyNumberFormat="1" applyFont="1" applyBorder="1" applyAlignment="1">
      <alignment horizontal="center" vertical="center" wrapText="1"/>
    </xf>
    <xf numFmtId="0" fontId="17" fillId="0" borderId="0" xfId="11"/>
    <xf numFmtId="177" fontId="28" fillId="0" borderId="2" xfId="11" applyNumberFormat="1" applyFont="1" applyBorder="1" applyAlignment="1">
      <alignment horizontal="center" vertical="center" wrapText="1"/>
    </xf>
    <xf numFmtId="177" fontId="9" fillId="0" borderId="2" xfId="11" applyNumberFormat="1" applyFont="1" applyBorder="1" applyAlignment="1">
      <alignment horizontal="center" vertical="center" wrapText="1"/>
    </xf>
    <xf numFmtId="179" fontId="9" fillId="0" borderId="7" xfId="11" applyNumberFormat="1" applyFont="1" applyBorder="1" applyAlignment="1">
      <alignment horizontal="center" wrapText="1"/>
    </xf>
    <xf numFmtId="177" fontId="10" fillId="0" borderId="0" xfId="11" applyNumberFormat="1" applyFont="1"/>
    <xf numFmtId="0" fontId="11" fillId="0" borderId="0" xfId="11" applyFont="1"/>
    <xf numFmtId="0" fontId="10" fillId="0" borderId="0" xfId="11" applyFont="1"/>
    <xf numFmtId="177" fontId="29" fillId="0" borderId="2" xfId="11" applyNumberFormat="1" applyFont="1" applyBorder="1" applyAlignment="1">
      <alignment horizontal="center" vertical="center" wrapText="1"/>
    </xf>
    <xf numFmtId="177" fontId="12" fillId="0" borderId="2" xfId="11" applyNumberFormat="1" applyFont="1" applyBorder="1" applyAlignment="1">
      <alignment horizontal="center" vertical="center" wrapText="1"/>
    </xf>
    <xf numFmtId="177" fontId="12" fillId="0" borderId="7" xfId="11" applyNumberFormat="1" applyFont="1" applyBorder="1" applyAlignment="1">
      <alignment horizontal="center" vertical="center" wrapText="1"/>
    </xf>
    <xf numFmtId="0" fontId="13" fillId="0" borderId="0" xfId="11" applyFont="1"/>
    <xf numFmtId="177" fontId="14" fillId="0" borderId="2" xfId="11" applyNumberFormat="1" applyFont="1" applyBorder="1" applyAlignment="1">
      <alignment horizontal="center" vertical="center" wrapText="1"/>
    </xf>
    <xf numFmtId="177" fontId="14" fillId="0" borderId="7" xfId="11" applyNumberFormat="1" applyFont="1" applyBorder="1" applyAlignment="1">
      <alignment horizontal="center" vertical="center" wrapText="1"/>
    </xf>
    <xf numFmtId="0" fontId="15" fillId="0" borderId="0" xfId="11" applyFont="1"/>
    <xf numFmtId="0" fontId="11" fillId="2" borderId="0" xfId="11" applyFont="1" applyFill="1"/>
    <xf numFmtId="0" fontId="29" fillId="0" borderId="13" xfId="11" applyFont="1" applyBorder="1" applyAlignment="1">
      <alignment horizontal="center" vertical="center" wrapText="1"/>
    </xf>
    <xf numFmtId="177" fontId="9" fillId="0" borderId="9" xfId="11" applyNumberFormat="1" applyFont="1" applyBorder="1" applyAlignment="1">
      <alignment horizontal="center" vertical="center" wrapText="1"/>
    </xf>
    <xf numFmtId="177" fontId="27" fillId="0" borderId="9" xfId="11" applyNumberFormat="1" applyFont="1" applyBorder="1" applyAlignment="1">
      <alignment horizontal="center" vertical="center" wrapText="1"/>
    </xf>
    <xf numFmtId="178" fontId="27" fillId="0" borderId="9" xfId="11" applyNumberFormat="1" applyFont="1" applyBorder="1" applyAlignment="1">
      <alignment horizontal="center" vertical="center" wrapText="1"/>
    </xf>
    <xf numFmtId="177" fontId="7" fillId="0" borderId="9" xfId="11" applyNumberFormat="1" applyFont="1" applyBorder="1" applyAlignment="1">
      <alignment horizontal="center" vertical="center" wrapText="1"/>
    </xf>
    <xf numFmtId="179" fontId="9" fillId="0" borderId="10" xfId="11" applyNumberFormat="1" applyFont="1" applyBorder="1" applyAlignment="1">
      <alignment horizontal="center" wrapText="1"/>
    </xf>
    <xf numFmtId="0" fontId="7" fillId="0" borderId="14" xfId="11" applyFont="1" applyBorder="1" applyAlignment="1">
      <alignment horizontal="center" vertical="center" wrapText="1"/>
    </xf>
    <xf numFmtId="177" fontId="7" fillId="0" borderId="5" xfId="11" applyNumberFormat="1" applyFont="1" applyBorder="1" applyAlignment="1">
      <alignment horizontal="center" vertical="center" wrapText="1"/>
    </xf>
    <xf numFmtId="177" fontId="27" fillId="0" borderId="5" xfId="11" applyNumberFormat="1" applyFont="1" applyBorder="1" applyAlignment="1">
      <alignment horizontal="center" vertical="center" wrapText="1"/>
    </xf>
    <xf numFmtId="178" fontId="27" fillId="0" borderId="5" xfId="11" applyNumberFormat="1" applyFont="1" applyBorder="1" applyAlignment="1">
      <alignment horizontal="center" vertical="center" wrapText="1"/>
    </xf>
    <xf numFmtId="177" fontId="14" fillId="0" borderId="5" xfId="11" applyNumberFormat="1" applyFont="1" applyBorder="1" applyAlignment="1">
      <alignment horizontal="center" vertical="center"/>
    </xf>
    <xf numFmtId="0" fontId="14" fillId="0" borderId="11" xfId="11" applyFont="1" applyBorder="1"/>
    <xf numFmtId="0" fontId="17" fillId="2" borderId="0" xfId="11" applyFill="1"/>
    <xf numFmtId="177" fontId="9" fillId="0" borderId="2" xfId="11" applyNumberFormat="1" applyFont="1" applyBorder="1" applyAlignment="1">
      <alignment horizontal="center" vertical="center"/>
    </xf>
    <xf numFmtId="0" fontId="9" fillId="0" borderId="7" xfId="11" applyFont="1" applyBorder="1"/>
    <xf numFmtId="0" fontId="30" fillId="0" borderId="0" xfId="11" applyFont="1"/>
    <xf numFmtId="177" fontId="7" fillId="0" borderId="2" xfId="11" applyNumberFormat="1" applyFont="1" applyBorder="1" applyAlignment="1">
      <alignment horizontal="center" vertical="center"/>
    </xf>
    <xf numFmtId="0" fontId="7" fillId="0" borderId="7" xfId="11" applyFont="1" applyBorder="1"/>
    <xf numFmtId="177" fontId="9" fillId="3" borderId="2" xfId="11" applyNumberFormat="1" applyFont="1" applyFill="1" applyBorder="1" applyAlignment="1">
      <alignment horizontal="center" vertical="center" wrapText="1"/>
    </xf>
    <xf numFmtId="178" fontId="7" fillId="3" borderId="2" xfId="11" applyNumberFormat="1" applyFont="1" applyFill="1" applyBorder="1" applyAlignment="1">
      <alignment horizontal="center" vertical="center" wrapText="1"/>
    </xf>
    <xf numFmtId="0" fontId="7" fillId="0" borderId="13" xfId="11" applyFont="1" applyBorder="1" applyAlignment="1">
      <alignment horizontal="center" vertical="center" wrapText="1"/>
    </xf>
    <xf numFmtId="177" fontId="9" fillId="0" borderId="9" xfId="11" applyNumberFormat="1" applyFont="1" applyBorder="1" applyAlignment="1">
      <alignment horizontal="center" vertical="center"/>
    </xf>
    <xf numFmtId="0" fontId="9" fillId="0" borderId="10" xfId="11" applyFont="1" applyBorder="1"/>
    <xf numFmtId="177" fontId="9" fillId="0" borderId="5" xfId="11" applyNumberFormat="1" applyFont="1" applyBorder="1" applyAlignment="1">
      <alignment horizontal="center" vertical="center" wrapText="1"/>
    </xf>
    <xf numFmtId="177" fontId="9" fillId="0" borderId="5" xfId="11" applyNumberFormat="1" applyFont="1" applyBorder="1" applyAlignment="1">
      <alignment horizontal="center" vertical="center"/>
    </xf>
    <xf numFmtId="0" fontId="9" fillId="0" borderId="11" xfId="11" applyFont="1" applyBorder="1"/>
    <xf numFmtId="0" fontId="7" fillId="0" borderId="2" xfId="11" applyFont="1" applyBorder="1"/>
    <xf numFmtId="0" fontId="7" fillId="0" borderId="1" xfId="11" applyFont="1" applyBorder="1" applyAlignment="1">
      <alignment horizontal="left" vertical="center" wrapText="1"/>
    </xf>
    <xf numFmtId="0" fontId="7" fillId="0" borderId="2" xfId="11" applyFont="1" applyBorder="1" applyAlignment="1">
      <alignment horizontal="left" vertical="center"/>
    </xf>
    <xf numFmtId="0" fontId="7" fillId="0" borderId="7" xfId="11" applyFont="1" applyBorder="1" applyAlignment="1">
      <alignment horizontal="left" vertical="center"/>
    </xf>
    <xf numFmtId="0" fontId="8" fillId="0" borderId="0" xfId="11" applyFont="1" applyAlignment="1">
      <alignment horizontal="left" vertical="center"/>
    </xf>
    <xf numFmtId="0" fontId="7" fillId="0" borderId="9" xfId="11" applyFont="1" applyBorder="1"/>
    <xf numFmtId="0" fontId="7" fillId="0" borderId="10" xfId="11" applyFont="1" applyBorder="1"/>
    <xf numFmtId="0" fontId="28" fillId="0" borderId="5" xfId="11" applyFont="1" applyBorder="1" applyAlignment="1">
      <alignment horizontal="center" vertical="center" wrapText="1"/>
    </xf>
    <xf numFmtId="0" fontId="8" fillId="0" borderId="5" xfId="11" applyFont="1" applyBorder="1"/>
    <xf numFmtId="0" fontId="28" fillId="0" borderId="2" xfId="11" applyFont="1" applyBorder="1" applyAlignment="1">
      <alignment horizontal="center" vertical="center" wrapText="1"/>
    </xf>
    <xf numFmtId="0" fontId="8" fillId="0" borderId="2" xfId="11" applyFont="1" applyBorder="1"/>
    <xf numFmtId="0" fontId="28" fillId="0" borderId="14" xfId="11" applyFont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/>
    </xf>
    <xf numFmtId="177" fontId="31" fillId="0" borderId="0" xfId="0" applyNumberFormat="1" applyFont="1" applyFill="1" applyBorder="1" applyAlignment="1">
      <alignment horizontal="center" vertical="center" wrapText="1"/>
    </xf>
    <xf numFmtId="179" fontId="31" fillId="0" borderId="0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Fill="1" applyBorder="1" applyAlignment="1">
      <alignment horizontal="center" vertical="center"/>
    </xf>
  </cellXfs>
  <cellStyles count="14">
    <cellStyle name="差_D线" xfId="12"/>
    <cellStyle name="常规" xfId="0" builtinId="0"/>
    <cellStyle name="常规 2" xfId="1"/>
    <cellStyle name="常规 2 2" xfId="2"/>
    <cellStyle name="常规 2 3" xfId="3"/>
    <cellStyle name="常规 3" xfId="4"/>
    <cellStyle name="常规 4" xfId="5"/>
    <cellStyle name="常规 4 2" xfId="6"/>
    <cellStyle name="常规 5" xfId="7"/>
    <cellStyle name="常规 6" xfId="8"/>
    <cellStyle name="常规 7" xfId="11"/>
    <cellStyle name="好_D线" xfId="13"/>
    <cellStyle name="千位分隔 2" xfId="9"/>
    <cellStyle name="千位分隔 3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400050</xdr:colOff>
      <xdr:row>3972</xdr:row>
      <xdr:rowOff>133350</xdr:rowOff>
    </xdr:from>
    <xdr:to>
      <xdr:col>17</xdr:col>
      <xdr:colOff>446977</xdr:colOff>
      <xdr:row>3986</xdr:row>
      <xdr:rowOff>56860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43850" y="681132750"/>
          <a:ext cx="5590477" cy="23238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0</xdr:row>
          <xdr:rowOff>9525</xdr:rowOff>
        </xdr:from>
        <xdr:to>
          <xdr:col>17</xdr:col>
          <xdr:colOff>228600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19050</xdr:rowOff>
        </xdr:from>
        <xdr:to>
          <xdr:col>12</xdr:col>
          <xdr:colOff>304800</xdr:colOff>
          <xdr:row>3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1</xdr:row>
          <xdr:rowOff>161925</xdr:rowOff>
        </xdr:from>
        <xdr:to>
          <xdr:col>17</xdr:col>
          <xdr:colOff>57150</xdr:colOff>
          <xdr:row>4</xdr:row>
          <xdr:rowOff>57150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sumAtoB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20-&#39033;&#30446;\G653&#36947;&#30495;&#21439;&#21345;&#38376;&#33267;&#29577;&#28330;&#20844;&#36335;&#25913;&#25193;&#24314;&#24037;&#31243;\3&#31532;&#19977;&#31687;%20&#36335;&#22522;&#12289;&#36335;&#38754;\C3-16%20&#36335;&#22522;&#38450;&#25252;&#24037;&#31243;&#25968;&#37327;&#34920;\C3-16%20&#36335;&#22522;&#38450;&#25252;&#24037;&#31243;&#25968;&#37327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umAtoB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比较线"/>
      <sheetName val="C+K比较线"/>
      <sheetName val="K"/>
      <sheetName val="A"/>
      <sheetName val="B"/>
      <sheetName val="C"/>
      <sheetName val="D"/>
      <sheetName val="E"/>
      <sheetName val="F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R106"/>
  <sheetViews>
    <sheetView showZeros="0" view="pageBreakPreview" zoomScaleNormal="85" zoomScaleSheetLayoutView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Y8" sqref="Y8"/>
    </sheetView>
  </sheetViews>
  <sheetFormatPr defaultRowHeight="14.25"/>
  <cols>
    <col min="1" max="1" width="18.875" style="15" customWidth="1"/>
    <col min="2" max="2" width="5.625" style="15" customWidth="1"/>
    <col min="3" max="3" width="7.375" style="15" customWidth="1"/>
    <col min="4" max="4" width="6.125" style="15" customWidth="1"/>
    <col min="5" max="5" width="6.25" style="15" customWidth="1"/>
    <col min="6" max="6" width="6" style="15" customWidth="1"/>
    <col min="7" max="7" width="6.625" style="15" customWidth="1"/>
    <col min="8" max="8" width="6.875" style="15" customWidth="1"/>
    <col min="9" max="9" width="5.625" style="15" customWidth="1"/>
    <col min="10" max="11" width="6.625" style="15" customWidth="1"/>
    <col min="12" max="12" width="6.875" style="15" customWidth="1"/>
    <col min="13" max="14" width="6.125" style="15" customWidth="1"/>
    <col min="15" max="18" width="6.625" style="15" customWidth="1"/>
    <col min="19" max="22" width="5.625" style="15" customWidth="1"/>
    <col min="23" max="23" width="6.125" style="15" customWidth="1"/>
    <col min="24" max="24" width="6.75" style="15" customWidth="1"/>
    <col min="25" max="26" width="6.625" style="15" customWidth="1"/>
    <col min="27" max="27" width="4.5" style="15" customWidth="1"/>
    <col min="28" max="28" width="7" style="15" hidden="1" customWidth="1"/>
    <col min="29" max="29" width="7.375" style="15" hidden="1" customWidth="1"/>
    <col min="30" max="30" width="7.5" style="15" hidden="1" customWidth="1"/>
    <col min="31" max="32" width="7.5" style="15" customWidth="1"/>
    <col min="33" max="16384" width="9" style="15"/>
  </cols>
  <sheetData>
    <row r="1" spans="1:44" ht="22.5">
      <c r="A1" s="14" t="s">
        <v>74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</row>
    <row r="2" spans="1:44" ht="18.95" customHeight="1">
      <c r="A2" s="16"/>
      <c r="Y2" s="17"/>
      <c r="Z2" s="17"/>
      <c r="AA2" s="17"/>
    </row>
    <row r="3" spans="1:44" ht="18.95" customHeight="1" thickBot="1">
      <c r="A3" s="18" t="s">
        <v>33</v>
      </c>
      <c r="B3" s="18"/>
      <c r="C3" s="18"/>
      <c r="D3" s="18"/>
      <c r="E3" s="18"/>
      <c r="F3" s="18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20"/>
      <c r="X3" s="20"/>
      <c r="Y3" s="20"/>
      <c r="Z3" s="20"/>
      <c r="AA3" s="20"/>
    </row>
    <row r="4" spans="1:44" s="24" customFormat="1" ht="20.100000000000001" customHeight="1">
      <c r="A4" s="21" t="s">
        <v>34</v>
      </c>
      <c r="B4" s="22" t="s">
        <v>35</v>
      </c>
      <c r="C4" s="22" t="s">
        <v>36</v>
      </c>
      <c r="D4" s="22"/>
      <c r="E4" s="22"/>
      <c r="F4" s="22"/>
      <c r="G4" s="22"/>
      <c r="H4" s="22"/>
      <c r="I4" s="22"/>
      <c r="J4" s="22" t="s">
        <v>37</v>
      </c>
      <c r="K4" s="22"/>
      <c r="L4" s="22"/>
      <c r="M4" s="22" t="s">
        <v>38</v>
      </c>
      <c r="N4" s="22"/>
      <c r="O4" s="22" t="s">
        <v>39</v>
      </c>
      <c r="P4" s="22"/>
      <c r="Q4" s="22"/>
      <c r="R4" s="22"/>
      <c r="S4" s="22" t="s">
        <v>40</v>
      </c>
      <c r="T4" s="22"/>
      <c r="U4" s="22"/>
      <c r="V4" s="22"/>
      <c r="W4" s="22" t="s">
        <v>41</v>
      </c>
      <c r="X4" s="22"/>
      <c r="Y4" s="22"/>
      <c r="Z4" s="22"/>
      <c r="AA4" s="23" t="s">
        <v>42</v>
      </c>
    </row>
    <row r="5" spans="1:44" s="24" customFormat="1" ht="30" customHeight="1">
      <c r="A5" s="25"/>
      <c r="B5" s="26"/>
      <c r="C5" s="27" t="s">
        <v>43</v>
      </c>
      <c r="D5" s="26" t="s">
        <v>44</v>
      </c>
      <c r="E5" s="26"/>
      <c r="F5" s="26"/>
      <c r="G5" s="26" t="s">
        <v>45</v>
      </c>
      <c r="H5" s="26"/>
      <c r="I5" s="26"/>
      <c r="J5" s="28" t="s">
        <v>46</v>
      </c>
      <c r="K5" s="28" t="s">
        <v>47</v>
      </c>
      <c r="L5" s="28" t="s">
        <v>48</v>
      </c>
      <c r="M5" s="28" t="s">
        <v>49</v>
      </c>
      <c r="N5" s="28" t="s">
        <v>48</v>
      </c>
      <c r="O5" s="28" t="s">
        <v>50</v>
      </c>
      <c r="P5" s="28" t="s">
        <v>51</v>
      </c>
      <c r="Q5" s="29" t="s">
        <v>52</v>
      </c>
      <c r="R5" s="30"/>
      <c r="S5" s="28" t="s">
        <v>53</v>
      </c>
      <c r="T5" s="28" t="s">
        <v>54</v>
      </c>
      <c r="U5" s="28" t="s">
        <v>51</v>
      </c>
      <c r="V5" s="28" t="s">
        <v>54</v>
      </c>
      <c r="W5" s="28" t="s">
        <v>10</v>
      </c>
      <c r="X5" s="28" t="s">
        <v>11</v>
      </c>
      <c r="Y5" s="29" t="s">
        <v>52</v>
      </c>
      <c r="Z5" s="30"/>
      <c r="AA5" s="31"/>
    </row>
    <row r="6" spans="1:44" s="24" customFormat="1" ht="30" customHeight="1">
      <c r="A6" s="25"/>
      <c r="B6" s="26"/>
      <c r="C6" s="27"/>
      <c r="D6" s="28" t="s">
        <v>55</v>
      </c>
      <c r="E6" s="28" t="s">
        <v>56</v>
      </c>
      <c r="F6" s="28" t="s">
        <v>57</v>
      </c>
      <c r="G6" s="28" t="s">
        <v>58</v>
      </c>
      <c r="H6" s="28" t="s">
        <v>59</v>
      </c>
      <c r="I6" s="28" t="s">
        <v>60</v>
      </c>
      <c r="J6" s="32" t="s">
        <v>61</v>
      </c>
      <c r="K6" s="32" t="s">
        <v>61</v>
      </c>
      <c r="L6" s="32" t="s">
        <v>62</v>
      </c>
      <c r="M6" s="32" t="s">
        <v>63</v>
      </c>
      <c r="N6" s="32" t="s">
        <v>61</v>
      </c>
      <c r="O6" s="32" t="s">
        <v>61</v>
      </c>
      <c r="P6" s="32" t="s">
        <v>62</v>
      </c>
      <c r="Q6" s="28" t="s">
        <v>49</v>
      </c>
      <c r="R6" s="28" t="s">
        <v>48</v>
      </c>
      <c r="S6" s="32" t="s">
        <v>61</v>
      </c>
      <c r="T6" s="32" t="s">
        <v>64</v>
      </c>
      <c r="U6" s="32" t="s">
        <v>61</v>
      </c>
      <c r="V6" s="32" t="s">
        <v>64</v>
      </c>
      <c r="W6" s="32" t="s">
        <v>61</v>
      </c>
      <c r="X6" s="32" t="s">
        <v>61</v>
      </c>
      <c r="Y6" s="28" t="s">
        <v>65</v>
      </c>
      <c r="Z6" s="28" t="s">
        <v>66</v>
      </c>
      <c r="AA6" s="31"/>
    </row>
    <row r="7" spans="1:44" ht="20.100000000000001" customHeight="1">
      <c r="A7" s="33" t="s">
        <v>67</v>
      </c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>
        <f ca="1">IF(O7&gt;0,INT(RANDBETWEEN(($AH7-$AG7)*0.3,($AH7-$AG7)*0.8)/1000*O7),0)</f>
        <v>0</v>
      </c>
      <c r="R7" s="34">
        <f ca="1">IF(P7&gt;0,INT(RANDBETWEEN(($AH7-$AG7)*0.3,($AH7-$AG7)*0.8)/1000*P7),0)</f>
        <v>0</v>
      </c>
      <c r="S7" s="34"/>
      <c r="T7" s="35"/>
      <c r="U7" s="34"/>
      <c r="V7" s="35"/>
      <c r="W7" s="34"/>
      <c r="X7" s="34"/>
      <c r="Y7" s="35"/>
      <c r="Z7" s="36"/>
      <c r="AA7" s="37"/>
      <c r="AB7" s="38"/>
      <c r="AC7" s="38"/>
      <c r="AD7" s="38"/>
      <c r="AE7" s="38"/>
      <c r="AF7" s="38"/>
      <c r="AI7" s="15" t="s">
        <v>68</v>
      </c>
      <c r="AJ7" s="15" t="s">
        <v>69</v>
      </c>
      <c r="AK7" s="39" t="s">
        <v>70</v>
      </c>
      <c r="AL7" s="39"/>
      <c r="AM7" s="39"/>
      <c r="AN7" s="39"/>
      <c r="AO7" s="39"/>
      <c r="AP7" s="39"/>
    </row>
    <row r="8" spans="1:44" ht="20.100000000000001" customHeight="1">
      <c r="A8" s="33" t="str">
        <f>TEXT(ROUND(AG8,3),"K0+000.000")&amp;"～"&amp;TEXT(ROUND(AH8,3),"K0+000.000")</f>
        <v>K0+000.000～K1+000.000</v>
      </c>
      <c r="B8" s="34">
        <f>AH8-AG8</f>
        <v>1000</v>
      </c>
      <c r="C8" s="34">
        <f>AI8</f>
        <v>52444.3828125</v>
      </c>
      <c r="D8" s="34">
        <f t="shared" ref="D8:I23" si="0">$C8*AK8/100</f>
        <v>5244.4382812499998</v>
      </c>
      <c r="E8" s="34">
        <f t="shared" si="0"/>
        <v>10488.8765625</v>
      </c>
      <c r="F8" s="34">
        <f t="shared" si="0"/>
        <v>0</v>
      </c>
      <c r="G8" s="34">
        <f t="shared" si="0"/>
        <v>20977.753124999999</v>
      </c>
      <c r="H8" s="34">
        <f t="shared" si="0"/>
        <v>15733.31484375</v>
      </c>
      <c r="I8" s="34">
        <f t="shared" si="0"/>
        <v>0</v>
      </c>
      <c r="J8" s="34">
        <f>AJ8</f>
        <v>6793.6630859375</v>
      </c>
      <c r="K8" s="34">
        <f>J8*0.2</f>
        <v>1358.7326171875002</v>
      </c>
      <c r="L8" s="34">
        <f>J8-K8</f>
        <v>5434.9304687499998</v>
      </c>
      <c r="M8" s="34">
        <f>J8*5.7/100*0.2</f>
        <v>77.447759179687509</v>
      </c>
      <c r="N8" s="34">
        <f>J8*5.7/100*0.8</f>
        <v>309.79103671875004</v>
      </c>
      <c r="O8" s="34">
        <f t="shared" ref="O8:O71" si="1">K8*1.16-M8</f>
        <v>1498.6820767578126</v>
      </c>
      <c r="P8" s="34">
        <f>L8/0.92-N8</f>
        <v>5597.7420814877714</v>
      </c>
      <c r="Q8" s="34">
        <v>473</v>
      </c>
      <c r="R8" s="34">
        <v>4265</v>
      </c>
      <c r="S8" s="40"/>
      <c r="T8" s="41"/>
      <c r="U8" s="40"/>
      <c r="V8" s="41"/>
      <c r="W8" s="34">
        <f>AQ8+D8</f>
        <v>14157.185007812499</v>
      </c>
      <c r="X8" s="34">
        <f>G8+H8+I8-N8-P8</f>
        <v>30803.534850543481</v>
      </c>
      <c r="Y8" s="34">
        <v>19820.060000000001</v>
      </c>
      <c r="Z8" s="34">
        <v>43124.94921875</v>
      </c>
      <c r="AA8" s="37"/>
      <c r="AB8" s="38"/>
      <c r="AC8" s="38"/>
      <c r="AD8" s="38"/>
      <c r="AE8" s="38"/>
      <c r="AF8" s="38"/>
      <c r="AG8" s="42">
        <v>0</v>
      </c>
      <c r="AH8" s="42">
        <f>AG9</f>
        <v>1000</v>
      </c>
      <c r="AI8" s="15">
        <v>52444.3828125</v>
      </c>
      <c r="AJ8" s="15">
        <v>6793.6630859375</v>
      </c>
      <c r="AK8" s="15">
        <v>10</v>
      </c>
      <c r="AL8" s="15">
        <v>20</v>
      </c>
      <c r="AM8" s="15">
        <v>0</v>
      </c>
      <c r="AN8" s="15">
        <v>40</v>
      </c>
      <c r="AO8" s="15">
        <v>30</v>
      </c>
      <c r="AP8" s="15">
        <v>0</v>
      </c>
      <c r="AQ8" s="43">
        <f>E8+F8-M8-O8</f>
        <v>8912.7467265625</v>
      </c>
      <c r="AR8" s="43">
        <f>G8+H8+I8-N8-P8</f>
        <v>30803.534850543481</v>
      </c>
    </row>
    <row r="9" spans="1:44" ht="20.100000000000001" customHeight="1">
      <c r="A9" s="33" t="str">
        <f t="shared" ref="A9:A72" si="2">TEXT(ROUND(AG9,3),"K0+000.000")&amp;"～"&amp;TEXT(ROUND(AH9,3),"K0+000.000")</f>
        <v>K1+000.000～K2+000.000</v>
      </c>
      <c r="B9" s="34">
        <f t="shared" ref="B9:B72" si="3">AH9-AG9</f>
        <v>1000</v>
      </c>
      <c r="C9" s="34">
        <f t="shared" ref="C9:C72" si="4">AI9</f>
        <v>53119.75390625</v>
      </c>
      <c r="D9" s="34">
        <f t="shared" si="0"/>
        <v>5311.9753906249998</v>
      </c>
      <c r="E9" s="34">
        <f t="shared" si="0"/>
        <v>10623.95078125</v>
      </c>
      <c r="F9" s="34">
        <f t="shared" si="0"/>
        <v>0</v>
      </c>
      <c r="G9" s="34">
        <f t="shared" si="0"/>
        <v>21247.901562499999</v>
      </c>
      <c r="H9" s="34">
        <f t="shared" si="0"/>
        <v>15935.926171875</v>
      </c>
      <c r="I9" s="34">
        <f t="shared" si="0"/>
        <v>0</v>
      </c>
      <c r="J9" s="34">
        <f t="shared" ref="J9:J72" si="5">AJ9</f>
        <v>3319.39599609375</v>
      </c>
      <c r="K9" s="34">
        <f t="shared" ref="K9:K72" si="6">J9*0.2</f>
        <v>663.87919921875005</v>
      </c>
      <c r="L9" s="34">
        <f t="shared" ref="L9:L72" si="7">J9-K9</f>
        <v>2655.5167968750002</v>
      </c>
      <c r="M9" s="34">
        <f t="shared" ref="M9:M72" si="8">J9*5.7/100*0.2</f>
        <v>37.841114355468754</v>
      </c>
      <c r="N9" s="34">
        <f t="shared" ref="N9:N72" si="9">J9*5.7/100*0.8</f>
        <v>151.36445742187502</v>
      </c>
      <c r="O9" s="34">
        <f t="shared" si="1"/>
        <v>732.25875673828125</v>
      </c>
      <c r="P9" s="34">
        <f t="shared" ref="P9:P15" si="10">L9/0.92-N9</f>
        <v>2735.0668435292118</v>
      </c>
      <c r="Q9" s="34">
        <v>308</v>
      </c>
      <c r="R9" s="34">
        <v>1755</v>
      </c>
      <c r="S9" s="40"/>
      <c r="T9" s="41"/>
      <c r="U9" s="40"/>
      <c r="V9" s="41"/>
      <c r="W9" s="34">
        <f t="shared" ref="W9:W72" si="11">AQ9+D9</f>
        <v>15165.826300781249</v>
      </c>
      <c r="X9" s="34">
        <f t="shared" ref="X9:X72" si="12">G9+H9+I9-N9-P9</f>
        <v>34297.396433423914</v>
      </c>
      <c r="Y9" s="34">
        <v>23886.18</v>
      </c>
      <c r="Z9" s="34">
        <v>54018.390625</v>
      </c>
      <c r="AA9" s="37"/>
      <c r="AB9" s="38"/>
      <c r="AC9" s="38"/>
      <c r="AD9" s="38"/>
      <c r="AE9" s="38"/>
      <c r="AF9" s="38"/>
      <c r="AG9" s="42">
        <v>1000</v>
      </c>
      <c r="AH9" s="42">
        <f t="shared" ref="AH9:AH32" si="13">AG10</f>
        <v>2000</v>
      </c>
      <c r="AI9" s="15">
        <v>53119.75390625</v>
      </c>
      <c r="AJ9" s="15">
        <v>3319.39599609375</v>
      </c>
      <c r="AK9" s="15">
        <v>10</v>
      </c>
      <c r="AL9" s="15">
        <v>20</v>
      </c>
      <c r="AM9" s="15">
        <v>0</v>
      </c>
      <c r="AN9" s="15">
        <v>40</v>
      </c>
      <c r="AO9" s="15">
        <v>30</v>
      </c>
      <c r="AP9" s="15">
        <v>0</v>
      </c>
      <c r="AQ9" s="43">
        <f t="shared" ref="AQ9:AQ72" si="14">E9+F9-M9-O9</f>
        <v>9853.8509101562486</v>
      </c>
      <c r="AR9" s="43">
        <f t="shared" ref="AR9:AR72" si="15">G9+H9+I9-N9-P9</f>
        <v>34297.396433423914</v>
      </c>
    </row>
    <row r="10" spans="1:44" ht="20.100000000000001" customHeight="1">
      <c r="A10" s="33" t="str">
        <f t="shared" si="2"/>
        <v>K2+000.000～K3+000.000</v>
      </c>
      <c r="B10" s="34">
        <f t="shared" si="3"/>
        <v>1000</v>
      </c>
      <c r="C10" s="34">
        <f t="shared" si="4"/>
        <v>220710.890625</v>
      </c>
      <c r="D10" s="34">
        <f t="shared" si="0"/>
        <v>22071.089062499999</v>
      </c>
      <c r="E10" s="34">
        <f t="shared" si="0"/>
        <v>44142.178124999999</v>
      </c>
      <c r="F10" s="34">
        <f t="shared" si="0"/>
        <v>0</v>
      </c>
      <c r="G10" s="34">
        <f t="shared" si="0"/>
        <v>88284.356249999997</v>
      </c>
      <c r="H10" s="34">
        <f t="shared" si="0"/>
        <v>66213.267187499994</v>
      </c>
      <c r="I10" s="34">
        <f t="shared" si="0"/>
        <v>0</v>
      </c>
      <c r="J10" s="34">
        <f t="shared" si="5"/>
        <v>9783.203125</v>
      </c>
      <c r="K10" s="34">
        <f t="shared" si="6"/>
        <v>1956.640625</v>
      </c>
      <c r="L10" s="34">
        <f t="shared" si="7"/>
        <v>7826.5625</v>
      </c>
      <c r="M10" s="34">
        <f t="shared" si="8"/>
        <v>111.52851562500001</v>
      </c>
      <c r="N10" s="34">
        <f t="shared" si="9"/>
        <v>446.11406250000005</v>
      </c>
      <c r="O10" s="34">
        <f t="shared" si="1"/>
        <v>2158.1746093749998</v>
      </c>
      <c r="P10" s="34">
        <f t="shared" si="10"/>
        <v>8061.0190896739123</v>
      </c>
      <c r="Q10" s="34">
        <v>1515</v>
      </c>
      <c r="R10" s="34">
        <v>3143</v>
      </c>
      <c r="S10" s="40"/>
      <c r="T10" s="41"/>
      <c r="U10" s="40"/>
      <c r="V10" s="41"/>
      <c r="W10" s="34">
        <f t="shared" si="11"/>
        <v>63943.564062499994</v>
      </c>
      <c r="X10" s="34">
        <f t="shared" si="12"/>
        <v>145990.49028532606</v>
      </c>
      <c r="Y10" s="34">
        <v>55384.92</v>
      </c>
      <c r="Z10" s="34">
        <v>126450.1171875</v>
      </c>
      <c r="AA10" s="37"/>
      <c r="AB10" s="38"/>
      <c r="AC10" s="38"/>
      <c r="AD10" s="38"/>
      <c r="AE10" s="38"/>
      <c r="AF10" s="38"/>
      <c r="AG10" s="42">
        <v>2000</v>
      </c>
      <c r="AH10" s="42">
        <f t="shared" si="13"/>
        <v>3000</v>
      </c>
      <c r="AI10" s="15">
        <v>220710.890625</v>
      </c>
      <c r="AJ10" s="15">
        <v>9783.203125</v>
      </c>
      <c r="AK10" s="15">
        <v>10</v>
      </c>
      <c r="AL10" s="15">
        <v>20</v>
      </c>
      <c r="AM10" s="15">
        <v>0</v>
      </c>
      <c r="AN10" s="15">
        <v>40</v>
      </c>
      <c r="AO10" s="15">
        <v>30</v>
      </c>
      <c r="AP10" s="15">
        <v>0</v>
      </c>
      <c r="AQ10" s="43">
        <f t="shared" si="14"/>
        <v>41872.474999999999</v>
      </c>
      <c r="AR10" s="43">
        <f t="shared" si="15"/>
        <v>145990.49028532606</v>
      </c>
    </row>
    <row r="11" spans="1:44" ht="20.100000000000001" customHeight="1">
      <c r="A11" s="33" t="str">
        <f t="shared" si="2"/>
        <v>K3+000.000～K4+000.000</v>
      </c>
      <c r="B11" s="34">
        <f t="shared" si="3"/>
        <v>1000</v>
      </c>
      <c r="C11" s="34">
        <f t="shared" si="4"/>
        <v>59638.50390625</v>
      </c>
      <c r="D11" s="34">
        <f t="shared" si="0"/>
        <v>5963.8503906249998</v>
      </c>
      <c r="E11" s="34">
        <f t="shared" si="0"/>
        <v>11927.70078125</v>
      </c>
      <c r="F11" s="34">
        <f t="shared" si="0"/>
        <v>0</v>
      </c>
      <c r="G11" s="34">
        <f t="shared" si="0"/>
        <v>23855.401562499999</v>
      </c>
      <c r="H11" s="34">
        <f t="shared" si="0"/>
        <v>17891.551171874999</v>
      </c>
      <c r="I11" s="34">
        <f t="shared" si="0"/>
        <v>0</v>
      </c>
      <c r="J11" s="34">
        <f t="shared" si="5"/>
        <v>8175.65185546875</v>
      </c>
      <c r="K11" s="34">
        <f t="shared" si="6"/>
        <v>1635.13037109375</v>
      </c>
      <c r="L11" s="34">
        <f t="shared" si="7"/>
        <v>6540.521484375</v>
      </c>
      <c r="M11" s="34">
        <f t="shared" si="8"/>
        <v>93.202431152343763</v>
      </c>
      <c r="N11" s="34">
        <f t="shared" si="9"/>
        <v>372.80972460937505</v>
      </c>
      <c r="O11" s="34">
        <f t="shared" si="1"/>
        <v>1803.5487993164061</v>
      </c>
      <c r="P11" s="34">
        <f t="shared" si="10"/>
        <v>6736.4527584069292</v>
      </c>
      <c r="Q11" s="34">
        <v>1435</v>
      </c>
      <c r="R11" s="34">
        <v>2054</v>
      </c>
      <c r="S11" s="40"/>
      <c r="T11" s="41"/>
      <c r="U11" s="40"/>
      <c r="V11" s="41"/>
      <c r="W11" s="34">
        <f t="shared" si="11"/>
        <v>15994.799941406251</v>
      </c>
      <c r="X11" s="34">
        <f t="shared" si="12"/>
        <v>34637.69025135869</v>
      </c>
      <c r="Y11" s="34">
        <v>13435.63</v>
      </c>
      <c r="Z11" s="34">
        <v>29095.66015625</v>
      </c>
      <c r="AA11" s="37"/>
      <c r="AB11" s="38"/>
      <c r="AC11" s="38"/>
      <c r="AD11" s="38"/>
      <c r="AE11" s="38"/>
      <c r="AF11" s="38"/>
      <c r="AG11" s="42">
        <v>3000</v>
      </c>
      <c r="AH11" s="42">
        <f t="shared" si="13"/>
        <v>4000</v>
      </c>
      <c r="AI11" s="15">
        <v>59638.50390625</v>
      </c>
      <c r="AJ11" s="15">
        <v>8175.65185546875</v>
      </c>
      <c r="AK11" s="15">
        <v>10</v>
      </c>
      <c r="AL11" s="15">
        <v>20</v>
      </c>
      <c r="AM11" s="15">
        <v>0</v>
      </c>
      <c r="AN11" s="15">
        <v>40</v>
      </c>
      <c r="AO11" s="15">
        <v>30</v>
      </c>
      <c r="AP11" s="15">
        <v>0</v>
      </c>
      <c r="AQ11" s="43">
        <f t="shared" si="14"/>
        <v>10030.94955078125</v>
      </c>
      <c r="AR11" s="43">
        <f t="shared" si="15"/>
        <v>34637.69025135869</v>
      </c>
    </row>
    <row r="12" spans="1:44" ht="20.100000000000001" customHeight="1">
      <c r="A12" s="33" t="str">
        <f t="shared" si="2"/>
        <v>K4+000.000～K5+000.000</v>
      </c>
      <c r="B12" s="34">
        <f t="shared" si="3"/>
        <v>1000</v>
      </c>
      <c r="C12" s="34">
        <f t="shared" si="4"/>
        <v>29528.27734375</v>
      </c>
      <c r="D12" s="34">
        <f t="shared" si="0"/>
        <v>2952.8277343750001</v>
      </c>
      <c r="E12" s="34">
        <f t="shared" si="0"/>
        <v>5905.6554687500002</v>
      </c>
      <c r="F12" s="34">
        <f t="shared" si="0"/>
        <v>0</v>
      </c>
      <c r="G12" s="34">
        <f t="shared" si="0"/>
        <v>11811.3109375</v>
      </c>
      <c r="H12" s="34">
        <f t="shared" si="0"/>
        <v>8858.4832031250007</v>
      </c>
      <c r="I12" s="34">
        <f t="shared" si="0"/>
        <v>0</v>
      </c>
      <c r="J12" s="34">
        <f t="shared" si="5"/>
        <v>6762.62109375</v>
      </c>
      <c r="K12" s="34">
        <f t="shared" si="6"/>
        <v>1352.52421875</v>
      </c>
      <c r="L12" s="34">
        <f t="shared" si="7"/>
        <v>5410.0968750000002</v>
      </c>
      <c r="M12" s="34">
        <f t="shared" si="8"/>
        <v>77.093880468750015</v>
      </c>
      <c r="N12" s="34">
        <f t="shared" si="9"/>
        <v>308.37552187500006</v>
      </c>
      <c r="O12" s="34">
        <f t="shared" si="1"/>
        <v>1491.83421328125</v>
      </c>
      <c r="P12" s="34">
        <f t="shared" si="10"/>
        <v>5572.1645596467388</v>
      </c>
      <c r="Q12" s="34">
        <v>839</v>
      </c>
      <c r="R12" s="34">
        <v>4251</v>
      </c>
      <c r="S12" s="40"/>
      <c r="T12" s="41"/>
      <c r="U12" s="40"/>
      <c r="V12" s="41"/>
      <c r="W12" s="34">
        <f t="shared" si="11"/>
        <v>7289.555109375</v>
      </c>
      <c r="X12" s="34">
        <f t="shared" si="12"/>
        <v>14789.254059103263</v>
      </c>
      <c r="Y12" s="34">
        <v>13412.78</v>
      </c>
      <c r="Z12" s="34">
        <v>27212.23046875</v>
      </c>
      <c r="AA12" s="37"/>
      <c r="AB12" s="38"/>
      <c r="AC12" s="38"/>
      <c r="AD12" s="38"/>
      <c r="AE12" s="38"/>
      <c r="AF12" s="38"/>
      <c r="AG12" s="42">
        <v>4000</v>
      </c>
      <c r="AH12" s="42">
        <f t="shared" si="13"/>
        <v>5000</v>
      </c>
      <c r="AI12" s="15">
        <v>29528.27734375</v>
      </c>
      <c r="AJ12" s="15">
        <v>6762.62109375</v>
      </c>
      <c r="AK12" s="15">
        <v>10</v>
      </c>
      <c r="AL12" s="15">
        <v>20</v>
      </c>
      <c r="AM12" s="15">
        <v>0</v>
      </c>
      <c r="AN12" s="15">
        <v>40</v>
      </c>
      <c r="AO12" s="15">
        <v>30</v>
      </c>
      <c r="AP12" s="15">
        <v>0</v>
      </c>
      <c r="AQ12" s="43">
        <f t="shared" si="14"/>
        <v>4336.7273750000004</v>
      </c>
      <c r="AR12" s="43">
        <f t="shared" si="15"/>
        <v>14789.254059103263</v>
      </c>
    </row>
    <row r="13" spans="1:44" ht="20.100000000000001" customHeight="1">
      <c r="A13" s="33" t="str">
        <f t="shared" si="2"/>
        <v>K5+000.000～K6+000.000</v>
      </c>
      <c r="B13" s="34">
        <f t="shared" si="3"/>
        <v>1000</v>
      </c>
      <c r="C13" s="34">
        <f t="shared" si="4"/>
        <v>35087.46484375</v>
      </c>
      <c r="D13" s="34">
        <f t="shared" si="0"/>
        <v>3508.7464843749999</v>
      </c>
      <c r="E13" s="34">
        <f t="shared" si="0"/>
        <v>7017.4929687499998</v>
      </c>
      <c r="F13" s="34">
        <f t="shared" si="0"/>
        <v>0</v>
      </c>
      <c r="G13" s="34">
        <f t="shared" si="0"/>
        <v>14034.9859375</v>
      </c>
      <c r="H13" s="34">
        <f t="shared" si="0"/>
        <v>10526.239453124999</v>
      </c>
      <c r="I13" s="34">
        <f t="shared" si="0"/>
        <v>0</v>
      </c>
      <c r="J13" s="34">
        <f t="shared" si="5"/>
        <v>7842.8935546875</v>
      </c>
      <c r="K13" s="34">
        <f t="shared" si="6"/>
        <v>1568.5787109375001</v>
      </c>
      <c r="L13" s="34">
        <f t="shared" si="7"/>
        <v>6274.3148437500004</v>
      </c>
      <c r="M13" s="34">
        <f t="shared" si="8"/>
        <v>89.408986523437505</v>
      </c>
      <c r="N13" s="34">
        <f t="shared" si="9"/>
        <v>357.63594609375002</v>
      </c>
      <c r="O13" s="34">
        <f t="shared" si="1"/>
        <v>1730.1423181640625</v>
      </c>
      <c r="P13" s="34">
        <f t="shared" si="10"/>
        <v>6462.2714927649458</v>
      </c>
      <c r="Q13" s="34">
        <v>519</v>
      </c>
      <c r="R13" s="34">
        <v>2235</v>
      </c>
      <c r="S13" s="40"/>
      <c r="T13" s="41"/>
      <c r="U13" s="40"/>
      <c r="V13" s="41"/>
      <c r="W13" s="34">
        <f t="shared" si="11"/>
        <v>8706.6881484375008</v>
      </c>
      <c r="X13" s="34">
        <f t="shared" si="12"/>
        <v>17741.317951766301</v>
      </c>
      <c r="Y13" s="34">
        <v>29942.42</v>
      </c>
      <c r="Z13" s="34">
        <v>61012.62890625</v>
      </c>
      <c r="AA13" s="37"/>
      <c r="AB13" s="38"/>
      <c r="AC13" s="38"/>
      <c r="AD13" s="38"/>
      <c r="AE13" s="38"/>
      <c r="AF13" s="38"/>
      <c r="AG13" s="42">
        <v>5000</v>
      </c>
      <c r="AH13" s="42">
        <f t="shared" si="13"/>
        <v>6000</v>
      </c>
      <c r="AI13" s="15">
        <v>35087.46484375</v>
      </c>
      <c r="AJ13" s="15">
        <v>7842.8935546875</v>
      </c>
      <c r="AK13" s="15">
        <v>10</v>
      </c>
      <c r="AL13" s="15">
        <v>20</v>
      </c>
      <c r="AM13" s="15">
        <v>0</v>
      </c>
      <c r="AN13" s="15">
        <v>40</v>
      </c>
      <c r="AO13" s="15">
        <v>30</v>
      </c>
      <c r="AP13" s="15">
        <v>0</v>
      </c>
      <c r="AQ13" s="43">
        <f t="shared" si="14"/>
        <v>5197.9416640625004</v>
      </c>
      <c r="AR13" s="43">
        <f t="shared" si="15"/>
        <v>17741.317951766301</v>
      </c>
    </row>
    <row r="14" spans="1:44" ht="20.100000000000001" customHeight="1">
      <c r="A14" s="33" t="str">
        <f t="shared" si="2"/>
        <v>K6+000.000～K7+000.000</v>
      </c>
      <c r="B14" s="34">
        <f t="shared" si="3"/>
        <v>1000</v>
      </c>
      <c r="C14" s="34">
        <f t="shared" si="4"/>
        <v>32942.5078125</v>
      </c>
      <c r="D14" s="34">
        <f t="shared" si="0"/>
        <v>3294.2507812499998</v>
      </c>
      <c r="E14" s="34">
        <f t="shared" si="0"/>
        <v>6588.5015624999996</v>
      </c>
      <c r="F14" s="34">
        <f t="shared" si="0"/>
        <v>0</v>
      </c>
      <c r="G14" s="34">
        <f t="shared" si="0"/>
        <v>13177.003124999999</v>
      </c>
      <c r="H14" s="34">
        <f t="shared" si="0"/>
        <v>9882.7523437500004</v>
      </c>
      <c r="I14" s="34">
        <f t="shared" si="0"/>
        <v>0</v>
      </c>
      <c r="J14" s="34">
        <f t="shared" si="5"/>
        <v>6838.080078125</v>
      </c>
      <c r="K14" s="34">
        <f t="shared" si="6"/>
        <v>1367.616015625</v>
      </c>
      <c r="L14" s="34">
        <f t="shared" si="7"/>
        <v>5470.4640625000002</v>
      </c>
      <c r="M14" s="34">
        <f t="shared" si="8"/>
        <v>77.954112890625012</v>
      </c>
      <c r="N14" s="34">
        <f t="shared" si="9"/>
        <v>311.81645156250005</v>
      </c>
      <c r="O14" s="34">
        <f t="shared" si="1"/>
        <v>1508.4804652343748</v>
      </c>
      <c r="P14" s="34">
        <f t="shared" si="10"/>
        <v>5634.3401381114127</v>
      </c>
      <c r="Q14" s="34">
        <v>1025</v>
      </c>
      <c r="R14" s="34">
        <v>4355</v>
      </c>
      <c r="S14" s="40"/>
      <c r="T14" s="41"/>
      <c r="U14" s="40"/>
      <c r="V14" s="41"/>
      <c r="W14" s="34">
        <f t="shared" si="11"/>
        <v>8296.3177656250009</v>
      </c>
      <c r="X14" s="34">
        <f t="shared" si="12"/>
        <v>17113.598879076089</v>
      </c>
      <c r="Y14" s="34">
        <v>26548.22</v>
      </c>
      <c r="Z14" s="34">
        <v>54763.51953125</v>
      </c>
      <c r="AA14" s="37"/>
      <c r="AB14" s="38"/>
      <c r="AC14" s="38"/>
      <c r="AD14" s="38"/>
      <c r="AE14" s="38"/>
      <c r="AF14" s="38"/>
      <c r="AG14" s="42">
        <v>6000</v>
      </c>
      <c r="AH14" s="42">
        <f t="shared" si="13"/>
        <v>7000</v>
      </c>
      <c r="AI14" s="15">
        <v>32942.5078125</v>
      </c>
      <c r="AJ14" s="15">
        <v>6838.080078125</v>
      </c>
      <c r="AK14" s="15">
        <v>10</v>
      </c>
      <c r="AL14" s="15">
        <v>20</v>
      </c>
      <c r="AM14" s="15">
        <v>0</v>
      </c>
      <c r="AN14" s="15">
        <v>40</v>
      </c>
      <c r="AO14" s="15">
        <v>30</v>
      </c>
      <c r="AP14" s="15">
        <v>0</v>
      </c>
      <c r="AQ14" s="43">
        <f t="shared" si="14"/>
        <v>5002.0669843750002</v>
      </c>
      <c r="AR14" s="43">
        <f t="shared" si="15"/>
        <v>17113.598879076089</v>
      </c>
    </row>
    <row r="15" spans="1:44" ht="20.100000000000001" customHeight="1">
      <c r="A15" s="33" t="str">
        <f t="shared" si="2"/>
        <v>K7+000.000～K7+087.130</v>
      </c>
      <c r="B15" s="34">
        <f t="shared" si="3"/>
        <v>87.130000000000109</v>
      </c>
      <c r="C15" s="34">
        <f t="shared" si="4"/>
        <v>13864.6357421875</v>
      </c>
      <c r="D15" s="34">
        <f t="shared" si="0"/>
        <v>1386.46357421875</v>
      </c>
      <c r="E15" s="34">
        <f t="shared" si="0"/>
        <v>2772.9271484374999</v>
      </c>
      <c r="F15" s="34">
        <f t="shared" si="0"/>
        <v>0</v>
      </c>
      <c r="G15" s="34">
        <f t="shared" si="0"/>
        <v>5545.8542968749998</v>
      </c>
      <c r="H15" s="34">
        <f t="shared" si="0"/>
        <v>4159.3907226562496</v>
      </c>
      <c r="I15" s="34">
        <f t="shared" si="0"/>
        <v>0</v>
      </c>
      <c r="J15" s="34">
        <f t="shared" si="5"/>
        <v>0</v>
      </c>
      <c r="K15" s="34">
        <f t="shared" si="6"/>
        <v>0</v>
      </c>
      <c r="L15" s="34">
        <f t="shared" si="7"/>
        <v>0</v>
      </c>
      <c r="M15" s="34">
        <f t="shared" si="8"/>
        <v>0</v>
      </c>
      <c r="N15" s="34">
        <f t="shared" si="9"/>
        <v>0</v>
      </c>
      <c r="O15" s="34">
        <f t="shared" si="1"/>
        <v>0</v>
      </c>
      <c r="P15" s="34">
        <f t="shared" si="10"/>
        <v>0</v>
      </c>
      <c r="Q15" s="34">
        <v>0</v>
      </c>
      <c r="R15" s="34">
        <v>0</v>
      </c>
      <c r="S15" s="40"/>
      <c r="T15" s="41"/>
      <c r="U15" s="40"/>
      <c r="V15" s="41"/>
      <c r="W15" s="34">
        <f t="shared" si="11"/>
        <v>4159.3907226562496</v>
      </c>
      <c r="X15" s="34">
        <f t="shared" si="12"/>
        <v>9705.2450195312485</v>
      </c>
      <c r="Y15" s="34">
        <v>11049.15</v>
      </c>
      <c r="Z15" s="34">
        <v>25781.349609375</v>
      </c>
      <c r="AA15" s="37"/>
      <c r="AB15" s="38"/>
      <c r="AC15" s="38"/>
      <c r="AD15" s="38"/>
      <c r="AE15" s="38"/>
      <c r="AF15" s="38"/>
      <c r="AG15" s="42">
        <v>7000</v>
      </c>
      <c r="AH15" s="42">
        <f t="shared" si="13"/>
        <v>7087.13</v>
      </c>
      <c r="AI15" s="15">
        <v>13864.6357421875</v>
      </c>
      <c r="AJ15" s="15">
        <v>0</v>
      </c>
      <c r="AK15" s="15">
        <v>10</v>
      </c>
      <c r="AL15" s="15">
        <v>20</v>
      </c>
      <c r="AM15" s="15">
        <v>0</v>
      </c>
      <c r="AN15" s="15">
        <v>40</v>
      </c>
      <c r="AO15" s="15">
        <v>30</v>
      </c>
      <c r="AP15" s="15">
        <v>0</v>
      </c>
      <c r="AQ15" s="43">
        <f t="shared" si="14"/>
        <v>2772.9271484374999</v>
      </c>
      <c r="AR15" s="43">
        <f t="shared" si="15"/>
        <v>9705.2450195312485</v>
      </c>
    </row>
    <row r="16" spans="1:44" s="48" customFormat="1" ht="20.100000000000001" customHeight="1">
      <c r="A16" s="33" t="str">
        <f t="shared" si="2"/>
        <v>K7+087.130～K8+000.000</v>
      </c>
      <c r="B16" s="44">
        <f t="shared" si="3"/>
        <v>912.86999999999989</v>
      </c>
      <c r="C16" s="44">
        <f t="shared" si="4"/>
        <v>24362.05859375</v>
      </c>
      <c r="D16" s="44">
        <f t="shared" si="0"/>
        <v>2436.2058593749998</v>
      </c>
      <c r="E16" s="44">
        <f t="shared" si="0"/>
        <v>4872.4117187499996</v>
      </c>
      <c r="F16" s="44">
        <f t="shared" si="0"/>
        <v>0</v>
      </c>
      <c r="G16" s="44">
        <f t="shared" si="0"/>
        <v>9744.8234374999993</v>
      </c>
      <c r="H16" s="44">
        <f t="shared" si="0"/>
        <v>7308.6175781250004</v>
      </c>
      <c r="I16" s="44">
        <f t="shared" si="0"/>
        <v>0</v>
      </c>
      <c r="J16" s="44">
        <f t="shared" si="5"/>
        <v>8002.77294921875</v>
      </c>
      <c r="K16" s="44">
        <f t="shared" si="6"/>
        <v>1600.5545898437501</v>
      </c>
      <c r="L16" s="44">
        <f t="shared" si="7"/>
        <v>6402.2183593749996</v>
      </c>
      <c r="M16" s="44">
        <f t="shared" si="8"/>
        <v>91.231611621093748</v>
      </c>
      <c r="N16" s="44">
        <f t="shared" si="9"/>
        <v>364.92644648437499</v>
      </c>
      <c r="O16" s="44">
        <f>K16*1.16-M16-(E17+F17-M17-O17)</f>
        <v>1765.4117125976563</v>
      </c>
      <c r="P16" s="44">
        <f>L16/0.92-N16-(G17+H17+I17-N17-P17)</f>
        <v>6594.0065528362757</v>
      </c>
      <c r="Q16" s="34">
        <v>526</v>
      </c>
      <c r="R16" s="34">
        <v>2921</v>
      </c>
      <c r="S16" s="40"/>
      <c r="T16" s="41"/>
      <c r="U16" s="40"/>
      <c r="V16" s="41"/>
      <c r="W16" s="34">
        <f t="shared" si="11"/>
        <v>5451.974253906249</v>
      </c>
      <c r="X16" s="44">
        <f t="shared" si="12"/>
        <v>10094.508016304349</v>
      </c>
      <c r="Y16" s="44">
        <v>11756.83</v>
      </c>
      <c r="Z16" s="44">
        <v>21768.150390625</v>
      </c>
      <c r="AA16" s="45"/>
      <c r="AB16" s="46"/>
      <c r="AC16" s="46"/>
      <c r="AD16" s="46"/>
      <c r="AE16" s="46"/>
      <c r="AF16" s="46"/>
      <c r="AG16" s="47">
        <v>7087.13</v>
      </c>
      <c r="AH16" s="47">
        <f t="shared" si="13"/>
        <v>8000</v>
      </c>
      <c r="AI16" s="48">
        <v>24362.05859375</v>
      </c>
      <c r="AJ16" s="48">
        <v>8002.77294921875</v>
      </c>
      <c r="AK16" s="48">
        <v>10</v>
      </c>
      <c r="AL16" s="48">
        <v>20</v>
      </c>
      <c r="AM16" s="48">
        <v>0</v>
      </c>
      <c r="AN16" s="48">
        <v>40</v>
      </c>
      <c r="AO16" s="48">
        <v>30</v>
      </c>
      <c r="AP16" s="48">
        <v>0</v>
      </c>
      <c r="AQ16" s="49">
        <f t="shared" si="14"/>
        <v>3015.7683945312492</v>
      </c>
      <c r="AR16" s="49">
        <f t="shared" si="15"/>
        <v>10094.508016304349</v>
      </c>
    </row>
    <row r="17" spans="1:44" s="48" customFormat="1" ht="20.100000000000001" customHeight="1">
      <c r="A17" s="33" t="str">
        <f t="shared" si="2"/>
        <v>K8+000.000～K9+000.000</v>
      </c>
      <c r="B17" s="44">
        <f t="shared" si="3"/>
        <v>1000</v>
      </c>
      <c r="C17" s="44">
        <f t="shared" si="4"/>
        <v>11645.3857421875</v>
      </c>
      <c r="D17" s="44">
        <f t="shared" si="0"/>
        <v>1164.53857421875</v>
      </c>
      <c r="E17" s="44">
        <f t="shared" si="0"/>
        <v>2329.0771484375</v>
      </c>
      <c r="F17" s="44">
        <f t="shared" si="0"/>
        <v>0</v>
      </c>
      <c r="G17" s="44">
        <f t="shared" si="0"/>
        <v>4658.154296875</v>
      </c>
      <c r="H17" s="44">
        <f t="shared" si="0"/>
        <v>3493.61572265625</v>
      </c>
      <c r="I17" s="44">
        <f t="shared" si="0"/>
        <v>0</v>
      </c>
      <c r="J17" s="44">
        <f t="shared" si="5"/>
        <v>14669.822265625</v>
      </c>
      <c r="K17" s="44">
        <f t="shared" si="6"/>
        <v>2933.9644531250001</v>
      </c>
      <c r="L17" s="44">
        <f t="shared" si="7"/>
        <v>11735.8578125</v>
      </c>
      <c r="M17" s="44">
        <f t="shared" si="8"/>
        <v>167.23597382812503</v>
      </c>
      <c r="N17" s="44">
        <f t="shared" si="9"/>
        <v>668.9438953125001</v>
      </c>
      <c r="O17" s="44">
        <f>E17+F17-M17</f>
        <v>2161.8411746093748</v>
      </c>
      <c r="P17" s="44">
        <f>G17+H17+I17-N17</f>
        <v>7482.82612421875</v>
      </c>
      <c r="Q17" s="34">
        <v>1658</v>
      </c>
      <c r="R17" s="34">
        <v>5589</v>
      </c>
      <c r="S17" s="40"/>
      <c r="T17" s="41"/>
      <c r="U17" s="40"/>
      <c r="V17" s="41"/>
      <c r="W17" s="34">
        <f t="shared" si="11"/>
        <v>1164.53857421875</v>
      </c>
      <c r="X17" s="44"/>
      <c r="Y17" s="44">
        <v>1397.45</v>
      </c>
      <c r="Z17" s="44">
        <v>0</v>
      </c>
      <c r="AA17" s="45"/>
      <c r="AB17" s="46"/>
      <c r="AC17" s="46"/>
      <c r="AD17" s="46"/>
      <c r="AE17" s="46"/>
      <c r="AF17" s="46"/>
      <c r="AG17" s="47">
        <v>8000</v>
      </c>
      <c r="AH17" s="47">
        <f t="shared" si="13"/>
        <v>9000</v>
      </c>
      <c r="AI17" s="48">
        <v>11645.3857421875</v>
      </c>
      <c r="AJ17" s="48">
        <v>14669.822265625</v>
      </c>
      <c r="AK17" s="48">
        <v>10</v>
      </c>
      <c r="AL17" s="48">
        <v>20</v>
      </c>
      <c r="AM17" s="48">
        <v>0</v>
      </c>
      <c r="AN17" s="48">
        <v>40</v>
      </c>
      <c r="AO17" s="48">
        <v>30</v>
      </c>
      <c r="AP17" s="48">
        <v>0</v>
      </c>
      <c r="AQ17" s="49">
        <f t="shared" si="14"/>
        <v>0</v>
      </c>
      <c r="AR17" s="49">
        <f t="shared" si="15"/>
        <v>0</v>
      </c>
    </row>
    <row r="18" spans="1:44" s="48" customFormat="1" ht="20.100000000000001" customHeight="1">
      <c r="A18" s="33" t="str">
        <f t="shared" si="2"/>
        <v>K9+000.000～K10+000.000</v>
      </c>
      <c r="B18" s="44">
        <f t="shared" si="3"/>
        <v>1000</v>
      </c>
      <c r="C18" s="44">
        <f t="shared" si="4"/>
        <v>6100.9228515625</v>
      </c>
      <c r="D18" s="44">
        <f t="shared" si="0"/>
        <v>610.09228515625</v>
      </c>
      <c r="E18" s="44">
        <f t="shared" si="0"/>
        <v>1220.1845703125</v>
      </c>
      <c r="F18" s="44">
        <f t="shared" si="0"/>
        <v>0</v>
      </c>
      <c r="G18" s="44">
        <f t="shared" si="0"/>
        <v>2440.369140625</v>
      </c>
      <c r="H18" s="44">
        <f t="shared" si="0"/>
        <v>1830.27685546875</v>
      </c>
      <c r="I18" s="44">
        <f t="shared" si="0"/>
        <v>0</v>
      </c>
      <c r="J18" s="44">
        <f t="shared" si="5"/>
        <v>13068.42578125</v>
      </c>
      <c r="K18" s="44">
        <f t="shared" si="6"/>
        <v>2613.6851562500001</v>
      </c>
      <c r="L18" s="44">
        <f t="shared" si="7"/>
        <v>10454.740625</v>
      </c>
      <c r="M18" s="44">
        <f t="shared" si="8"/>
        <v>148.98005390625002</v>
      </c>
      <c r="N18" s="44">
        <f t="shared" si="9"/>
        <v>595.92021562500008</v>
      </c>
      <c r="O18" s="44">
        <f>E18+F18-M18</f>
        <v>1071.2045164062499</v>
      </c>
      <c r="P18" s="44">
        <f>G18+H18+I18-N18</f>
        <v>3674.7257804687497</v>
      </c>
      <c r="Q18" s="34">
        <v>651</v>
      </c>
      <c r="R18" s="34">
        <v>2730</v>
      </c>
      <c r="S18" s="40"/>
      <c r="T18" s="41"/>
      <c r="U18" s="40"/>
      <c r="V18" s="41"/>
      <c r="W18" s="34">
        <f t="shared" si="11"/>
        <v>610.09228515625</v>
      </c>
      <c r="X18" s="44"/>
      <c r="Y18" s="44">
        <v>366.06</v>
      </c>
      <c r="Z18" s="44">
        <v>0</v>
      </c>
      <c r="AA18" s="45"/>
      <c r="AB18" s="46"/>
      <c r="AC18" s="46"/>
      <c r="AD18" s="46"/>
      <c r="AE18" s="46"/>
      <c r="AF18" s="46"/>
      <c r="AG18" s="47">
        <v>9000</v>
      </c>
      <c r="AH18" s="47">
        <f t="shared" si="13"/>
        <v>10000</v>
      </c>
      <c r="AI18" s="48">
        <v>6100.9228515625</v>
      </c>
      <c r="AJ18" s="48">
        <v>13068.42578125</v>
      </c>
      <c r="AK18" s="48">
        <v>10</v>
      </c>
      <c r="AL18" s="48">
        <v>20</v>
      </c>
      <c r="AM18" s="48">
        <v>0</v>
      </c>
      <c r="AN18" s="48">
        <v>40</v>
      </c>
      <c r="AO18" s="48">
        <v>30</v>
      </c>
      <c r="AP18" s="48">
        <v>0</v>
      </c>
      <c r="AQ18" s="49">
        <f t="shared" si="14"/>
        <v>0</v>
      </c>
      <c r="AR18" s="49">
        <f t="shared" si="15"/>
        <v>0</v>
      </c>
    </row>
    <row r="19" spans="1:44" s="48" customFormat="1" ht="20.100000000000001" customHeight="1">
      <c r="A19" s="33" t="str">
        <f t="shared" si="2"/>
        <v>K10+000.000～K11+000.000</v>
      </c>
      <c r="B19" s="44">
        <f t="shared" si="3"/>
        <v>1000</v>
      </c>
      <c r="C19" s="44">
        <f t="shared" si="4"/>
        <v>26064.5390625</v>
      </c>
      <c r="D19" s="44">
        <f t="shared" si="0"/>
        <v>2606.4539062499998</v>
      </c>
      <c r="E19" s="44">
        <f t="shared" si="0"/>
        <v>5212.9078124999996</v>
      </c>
      <c r="F19" s="44">
        <f t="shared" si="0"/>
        <v>0</v>
      </c>
      <c r="G19" s="44">
        <f t="shared" si="0"/>
        <v>10425.815624999999</v>
      </c>
      <c r="H19" s="44">
        <f t="shared" si="0"/>
        <v>7819.3617187500004</v>
      </c>
      <c r="I19" s="44">
        <f t="shared" si="0"/>
        <v>0</v>
      </c>
      <c r="J19" s="44">
        <f t="shared" si="5"/>
        <v>4979.6318359375</v>
      </c>
      <c r="K19" s="44">
        <f t="shared" si="6"/>
        <v>995.92636718750009</v>
      </c>
      <c r="L19" s="44">
        <f t="shared" si="7"/>
        <v>3983.7054687499999</v>
      </c>
      <c r="M19" s="44">
        <f t="shared" si="8"/>
        <v>56.767802929687505</v>
      </c>
      <c r="N19" s="44">
        <f t="shared" si="9"/>
        <v>227.07121171875002</v>
      </c>
      <c r="O19" s="44">
        <f>K19*1.16-M19-(E18+F18-M18-O18)</f>
        <v>1098.5067830078124</v>
      </c>
      <c r="P19" s="44">
        <f>L19/0.92-N19-(G18+H18+I18-N18-P18)</f>
        <v>4103.0434282269016</v>
      </c>
      <c r="Q19" s="34">
        <v>483</v>
      </c>
      <c r="R19" s="34">
        <v>2108</v>
      </c>
      <c r="S19" s="40"/>
      <c r="T19" s="41"/>
      <c r="U19" s="40"/>
      <c r="V19" s="41"/>
      <c r="W19" s="34">
        <f t="shared" si="11"/>
        <v>6664.0871328124995</v>
      </c>
      <c r="X19" s="44">
        <f t="shared" ref="X19" si="16">G19+H19+I19-N19-P19</f>
        <v>13915.062703804349</v>
      </c>
      <c r="Y19" s="44">
        <v>10662.54</v>
      </c>
      <c r="Z19" s="44">
        <v>22264.099609375</v>
      </c>
      <c r="AA19" s="45"/>
      <c r="AB19" s="46"/>
      <c r="AC19" s="46"/>
      <c r="AD19" s="46"/>
      <c r="AE19" s="46"/>
      <c r="AF19" s="46"/>
      <c r="AG19" s="47">
        <v>10000</v>
      </c>
      <c r="AH19" s="47">
        <f t="shared" si="13"/>
        <v>11000</v>
      </c>
      <c r="AI19" s="48">
        <v>26064.5390625</v>
      </c>
      <c r="AJ19" s="48">
        <v>4979.6318359375</v>
      </c>
      <c r="AK19" s="48">
        <v>10</v>
      </c>
      <c r="AL19" s="48">
        <v>20</v>
      </c>
      <c r="AM19" s="48">
        <v>0</v>
      </c>
      <c r="AN19" s="48">
        <v>40</v>
      </c>
      <c r="AO19" s="48">
        <v>30</v>
      </c>
      <c r="AP19" s="48">
        <v>0</v>
      </c>
      <c r="AQ19" s="49">
        <f t="shared" si="14"/>
        <v>4057.6332265624997</v>
      </c>
      <c r="AR19" s="49">
        <f t="shared" si="15"/>
        <v>13915.062703804349</v>
      </c>
    </row>
    <row r="20" spans="1:44" ht="20.100000000000001" customHeight="1">
      <c r="A20" s="33" t="str">
        <f t="shared" si="2"/>
        <v>K11+000.000～K11+110.291</v>
      </c>
      <c r="B20" s="34">
        <f t="shared" si="3"/>
        <v>110.29099999999926</v>
      </c>
      <c r="C20" s="34">
        <f t="shared" si="4"/>
        <v>6882.17236328125</v>
      </c>
      <c r="D20" s="34">
        <f t="shared" si="0"/>
        <v>688.21723632812495</v>
      </c>
      <c r="E20" s="34">
        <f t="shared" si="0"/>
        <v>1376.4344726562499</v>
      </c>
      <c r="F20" s="34">
        <f t="shared" si="0"/>
        <v>0</v>
      </c>
      <c r="G20" s="34">
        <f t="shared" si="0"/>
        <v>2752.8689453124998</v>
      </c>
      <c r="H20" s="34">
        <f t="shared" si="0"/>
        <v>2064.6517089843751</v>
      </c>
      <c r="I20" s="34">
        <f t="shared" si="0"/>
        <v>0</v>
      </c>
      <c r="J20" s="34">
        <f t="shared" si="5"/>
        <v>229.56599426269531</v>
      </c>
      <c r="K20" s="34">
        <f t="shared" si="6"/>
        <v>45.913198852539068</v>
      </c>
      <c r="L20" s="34">
        <f t="shared" si="7"/>
        <v>183.65279541015624</v>
      </c>
      <c r="M20" s="34">
        <f t="shared" si="8"/>
        <v>2.6170523345947267</v>
      </c>
      <c r="N20" s="34">
        <f t="shared" si="9"/>
        <v>10.468209338378907</v>
      </c>
      <c r="O20" s="34">
        <f t="shared" si="1"/>
        <v>50.642258334350593</v>
      </c>
      <c r="P20" s="34">
        <f t="shared" ref="P20:P71" si="17">L20/0.92-N20</f>
        <v>189.15439436831267</v>
      </c>
      <c r="Q20" s="34">
        <v>3</v>
      </c>
      <c r="R20" s="34">
        <v>6</v>
      </c>
      <c r="S20" s="40"/>
      <c r="T20" s="41"/>
      <c r="U20" s="40"/>
      <c r="V20" s="41"/>
      <c r="W20" s="34">
        <f t="shared" si="11"/>
        <v>2011.3923983154295</v>
      </c>
      <c r="X20" s="34">
        <f t="shared" si="12"/>
        <v>4617.8980505901836</v>
      </c>
      <c r="Y20" s="34">
        <v>4334.84</v>
      </c>
      <c r="Z20" s="34">
        <v>9952.240234375</v>
      </c>
      <c r="AA20" s="37"/>
      <c r="AB20" s="38"/>
      <c r="AC20" s="38"/>
      <c r="AD20" s="38"/>
      <c r="AE20" s="38"/>
      <c r="AF20" s="38"/>
      <c r="AG20" s="42">
        <v>11000</v>
      </c>
      <c r="AH20" s="42">
        <f t="shared" si="13"/>
        <v>11110.290999999999</v>
      </c>
      <c r="AI20" s="15">
        <v>6882.17236328125</v>
      </c>
      <c r="AJ20" s="15">
        <v>229.56599426269531</v>
      </c>
      <c r="AK20" s="15">
        <v>10</v>
      </c>
      <c r="AL20" s="15">
        <v>20</v>
      </c>
      <c r="AM20" s="15">
        <v>0</v>
      </c>
      <c r="AN20" s="15">
        <v>40</v>
      </c>
      <c r="AO20" s="15">
        <v>30</v>
      </c>
      <c r="AP20" s="15">
        <v>0</v>
      </c>
      <c r="AQ20" s="43">
        <f t="shared" si="14"/>
        <v>1323.1751619873046</v>
      </c>
      <c r="AR20" s="43">
        <f t="shared" si="15"/>
        <v>4617.8980505901836</v>
      </c>
    </row>
    <row r="21" spans="1:44" ht="20.100000000000001" customHeight="1">
      <c r="A21" s="33" t="str">
        <f t="shared" si="2"/>
        <v>K11+110.291～K12+000.000</v>
      </c>
      <c r="B21" s="34">
        <f t="shared" si="3"/>
        <v>889.70900000000074</v>
      </c>
      <c r="C21" s="34">
        <f t="shared" si="4"/>
        <v>55738.12109375</v>
      </c>
      <c r="D21" s="34">
        <f t="shared" si="0"/>
        <v>5573.8121093749996</v>
      </c>
      <c r="E21" s="34">
        <f t="shared" si="0"/>
        <v>11147.624218749999</v>
      </c>
      <c r="F21" s="34">
        <f t="shared" si="0"/>
        <v>0</v>
      </c>
      <c r="G21" s="34">
        <f t="shared" si="0"/>
        <v>22295.248437499999</v>
      </c>
      <c r="H21" s="34">
        <f t="shared" si="0"/>
        <v>16721.436328125001</v>
      </c>
      <c r="I21" s="34">
        <f t="shared" si="0"/>
        <v>0</v>
      </c>
      <c r="J21" s="34">
        <f t="shared" si="5"/>
        <v>6081.44384765625</v>
      </c>
      <c r="K21" s="34">
        <f t="shared" si="6"/>
        <v>1216.28876953125</v>
      </c>
      <c r="L21" s="34">
        <f t="shared" si="7"/>
        <v>4865.1550781249998</v>
      </c>
      <c r="M21" s="34">
        <f t="shared" si="8"/>
        <v>69.328459863281253</v>
      </c>
      <c r="N21" s="34">
        <f t="shared" si="9"/>
        <v>277.31383945312501</v>
      </c>
      <c r="O21" s="34">
        <f t="shared" si="1"/>
        <v>1341.5665127929685</v>
      </c>
      <c r="P21" s="34">
        <f t="shared" si="17"/>
        <v>5010.8982019870919</v>
      </c>
      <c r="Q21" s="34">
        <v>429</v>
      </c>
      <c r="R21" s="34">
        <v>3036</v>
      </c>
      <c r="S21" s="40"/>
      <c r="T21" s="41"/>
      <c r="U21" s="40"/>
      <c r="V21" s="41"/>
      <c r="W21" s="34">
        <f t="shared" si="11"/>
        <v>15310.541355468749</v>
      </c>
      <c r="X21" s="34">
        <f t="shared" si="12"/>
        <v>33728.472724184787</v>
      </c>
      <c r="Y21" s="34">
        <v>40651.72</v>
      </c>
      <c r="Z21" s="34">
        <v>89554</v>
      </c>
      <c r="AA21" s="37"/>
      <c r="AB21" s="38"/>
      <c r="AC21" s="38"/>
      <c r="AD21" s="38"/>
      <c r="AE21" s="38"/>
      <c r="AF21" s="38"/>
      <c r="AG21" s="42">
        <v>11110.290999999999</v>
      </c>
      <c r="AH21" s="42">
        <f t="shared" si="13"/>
        <v>12000</v>
      </c>
      <c r="AI21" s="15">
        <v>55738.12109375</v>
      </c>
      <c r="AJ21" s="15">
        <v>6081.44384765625</v>
      </c>
      <c r="AK21" s="15">
        <v>10</v>
      </c>
      <c r="AL21" s="15">
        <v>20</v>
      </c>
      <c r="AM21" s="15">
        <v>0</v>
      </c>
      <c r="AN21" s="15">
        <v>40</v>
      </c>
      <c r="AO21" s="15">
        <v>30</v>
      </c>
      <c r="AP21" s="15">
        <v>0</v>
      </c>
      <c r="AQ21" s="43">
        <f t="shared" si="14"/>
        <v>9736.7292460937497</v>
      </c>
      <c r="AR21" s="43">
        <f t="shared" si="15"/>
        <v>33728.472724184787</v>
      </c>
    </row>
    <row r="22" spans="1:44" ht="20.100000000000001" customHeight="1">
      <c r="A22" s="33" t="str">
        <f t="shared" si="2"/>
        <v>K12+000.000～K13+000.000</v>
      </c>
      <c r="B22" s="34">
        <f t="shared" si="3"/>
        <v>1000</v>
      </c>
      <c r="C22" s="34">
        <f t="shared" si="4"/>
        <v>33335.44140625</v>
      </c>
      <c r="D22" s="34">
        <f t="shared" si="0"/>
        <v>3333.5441406250002</v>
      </c>
      <c r="E22" s="34">
        <f t="shared" si="0"/>
        <v>6667.0882812500004</v>
      </c>
      <c r="F22" s="34">
        <f t="shared" si="0"/>
        <v>0</v>
      </c>
      <c r="G22" s="34">
        <f t="shared" si="0"/>
        <v>13334.176562500001</v>
      </c>
      <c r="H22" s="34">
        <f t="shared" si="0"/>
        <v>10000.632421875</v>
      </c>
      <c r="I22" s="34">
        <f t="shared" si="0"/>
        <v>0</v>
      </c>
      <c r="J22" s="34">
        <f t="shared" si="5"/>
        <v>6071.16845703125</v>
      </c>
      <c r="K22" s="34">
        <f t="shared" si="6"/>
        <v>1214.23369140625</v>
      </c>
      <c r="L22" s="34">
        <f t="shared" si="7"/>
        <v>4856.9347656250002</v>
      </c>
      <c r="M22" s="34">
        <f t="shared" si="8"/>
        <v>69.211320410156262</v>
      </c>
      <c r="N22" s="34">
        <f t="shared" si="9"/>
        <v>276.84528164062505</v>
      </c>
      <c r="O22" s="34">
        <f t="shared" si="1"/>
        <v>1339.2997616210937</v>
      </c>
      <c r="P22" s="34">
        <f t="shared" si="17"/>
        <v>5002.4316375169838</v>
      </c>
      <c r="Q22" s="34">
        <v>901</v>
      </c>
      <c r="R22" s="34">
        <v>1920</v>
      </c>
      <c r="S22" s="40"/>
      <c r="T22" s="41"/>
      <c r="U22" s="40"/>
      <c r="V22" s="41"/>
      <c r="W22" s="34">
        <f t="shared" si="11"/>
        <v>8592.1213398437503</v>
      </c>
      <c r="X22" s="34">
        <f t="shared" si="12"/>
        <v>18055.53206521739</v>
      </c>
      <c r="Y22" s="34">
        <v>32993.75</v>
      </c>
      <c r="Z22" s="34">
        <v>69333.2421875</v>
      </c>
      <c r="AA22" s="37"/>
      <c r="AB22" s="38"/>
      <c r="AC22" s="38"/>
      <c r="AD22" s="38"/>
      <c r="AE22" s="38"/>
      <c r="AF22" s="38"/>
      <c r="AG22" s="42">
        <v>12000</v>
      </c>
      <c r="AH22" s="42">
        <f t="shared" si="13"/>
        <v>13000</v>
      </c>
      <c r="AI22" s="15">
        <v>33335.44140625</v>
      </c>
      <c r="AJ22" s="15">
        <v>6071.16845703125</v>
      </c>
      <c r="AK22" s="15">
        <v>10</v>
      </c>
      <c r="AL22" s="15">
        <v>20</v>
      </c>
      <c r="AM22" s="15">
        <v>0</v>
      </c>
      <c r="AN22" s="15">
        <v>40</v>
      </c>
      <c r="AO22" s="15">
        <v>30</v>
      </c>
      <c r="AP22" s="15">
        <v>0</v>
      </c>
      <c r="AQ22" s="43">
        <f t="shared" si="14"/>
        <v>5258.577199218751</v>
      </c>
      <c r="AR22" s="43">
        <f t="shared" si="15"/>
        <v>18055.53206521739</v>
      </c>
    </row>
    <row r="23" spans="1:44" ht="20.100000000000001" customHeight="1">
      <c r="A23" s="33" t="str">
        <f t="shared" si="2"/>
        <v>K13+000.000～K14+000.000</v>
      </c>
      <c r="B23" s="34">
        <f t="shared" si="3"/>
        <v>1000</v>
      </c>
      <c r="C23" s="34">
        <f t="shared" si="4"/>
        <v>11127.4599609375</v>
      </c>
      <c r="D23" s="34">
        <f t="shared" si="0"/>
        <v>1112.7459960937499</v>
      </c>
      <c r="E23" s="34">
        <f t="shared" si="0"/>
        <v>2225.4919921874998</v>
      </c>
      <c r="F23" s="34">
        <f t="shared" si="0"/>
        <v>0</v>
      </c>
      <c r="G23" s="34">
        <f t="shared" si="0"/>
        <v>4450.9839843749996</v>
      </c>
      <c r="H23" s="34">
        <f t="shared" si="0"/>
        <v>3338.2379882812502</v>
      </c>
      <c r="I23" s="34">
        <f t="shared" si="0"/>
        <v>0</v>
      </c>
      <c r="J23" s="34">
        <f t="shared" si="5"/>
        <v>5934.6845703125</v>
      </c>
      <c r="K23" s="34">
        <f t="shared" si="6"/>
        <v>1186.9369140625001</v>
      </c>
      <c r="L23" s="34">
        <f t="shared" si="7"/>
        <v>4747.7476562499996</v>
      </c>
      <c r="M23" s="34">
        <f t="shared" si="8"/>
        <v>67.655404101562496</v>
      </c>
      <c r="N23" s="34">
        <f t="shared" si="9"/>
        <v>270.62161640624998</v>
      </c>
      <c r="O23" s="34">
        <f t="shared" si="1"/>
        <v>1309.1914162109376</v>
      </c>
      <c r="P23" s="34">
        <f t="shared" si="17"/>
        <v>4889.9736621263582</v>
      </c>
      <c r="Q23" s="34">
        <v>594</v>
      </c>
      <c r="R23" s="34">
        <v>3237</v>
      </c>
      <c r="S23" s="40"/>
      <c r="T23" s="41"/>
      <c r="U23" s="40"/>
      <c r="V23" s="41"/>
      <c r="W23" s="34">
        <f t="shared" si="11"/>
        <v>1961.3911679687496</v>
      </c>
      <c r="X23" s="34">
        <f t="shared" si="12"/>
        <v>2628.6266941236418</v>
      </c>
      <c r="Y23" s="34">
        <v>6668.73</v>
      </c>
      <c r="Z23" s="34">
        <v>8937.330078125</v>
      </c>
      <c r="AA23" s="37"/>
      <c r="AB23" s="38"/>
      <c r="AC23" s="38"/>
      <c r="AD23" s="38"/>
      <c r="AE23" s="38"/>
      <c r="AF23" s="38"/>
      <c r="AG23" s="42">
        <v>13000</v>
      </c>
      <c r="AH23" s="42">
        <f t="shared" si="13"/>
        <v>14000</v>
      </c>
      <c r="AI23" s="15">
        <v>11127.4599609375</v>
      </c>
      <c r="AJ23" s="15">
        <v>5934.6845703125</v>
      </c>
      <c r="AK23" s="15">
        <v>10</v>
      </c>
      <c r="AL23" s="15">
        <v>20</v>
      </c>
      <c r="AM23" s="15">
        <v>0</v>
      </c>
      <c r="AN23" s="15">
        <v>40</v>
      </c>
      <c r="AO23" s="15">
        <v>30</v>
      </c>
      <c r="AP23" s="15">
        <v>0</v>
      </c>
      <c r="AQ23" s="43">
        <f t="shared" si="14"/>
        <v>848.64517187499973</v>
      </c>
      <c r="AR23" s="43">
        <f t="shared" si="15"/>
        <v>2628.6266941236418</v>
      </c>
    </row>
    <row r="24" spans="1:44" ht="20.100000000000001" customHeight="1">
      <c r="A24" s="33" t="str">
        <f t="shared" si="2"/>
        <v>K14+000.000～K15+000.000</v>
      </c>
      <c r="B24" s="34">
        <f t="shared" si="3"/>
        <v>1000</v>
      </c>
      <c r="C24" s="34">
        <f t="shared" si="4"/>
        <v>33272.36328125</v>
      </c>
      <c r="D24" s="34">
        <f t="shared" ref="D24:I87" si="18">$C24*AK24/100</f>
        <v>3327.236328125</v>
      </c>
      <c r="E24" s="34">
        <f t="shared" si="18"/>
        <v>6654.47265625</v>
      </c>
      <c r="F24" s="34">
        <f t="shared" si="18"/>
        <v>0</v>
      </c>
      <c r="G24" s="34">
        <f t="shared" si="18"/>
        <v>13308.9453125</v>
      </c>
      <c r="H24" s="34">
        <f t="shared" si="18"/>
        <v>9981.708984375</v>
      </c>
      <c r="I24" s="34">
        <f t="shared" si="18"/>
        <v>0</v>
      </c>
      <c r="J24" s="34">
        <f t="shared" si="5"/>
        <v>13579.9912109375</v>
      </c>
      <c r="K24" s="34">
        <f t="shared" si="6"/>
        <v>2715.9982421875002</v>
      </c>
      <c r="L24" s="34">
        <f t="shared" si="7"/>
        <v>10863.992968750001</v>
      </c>
      <c r="M24" s="34">
        <f t="shared" si="8"/>
        <v>154.81189980468753</v>
      </c>
      <c r="N24" s="34">
        <f t="shared" si="9"/>
        <v>619.24759921875011</v>
      </c>
      <c r="O24" s="34">
        <f t="shared" si="1"/>
        <v>2995.7460611328124</v>
      </c>
      <c r="P24" s="34">
        <f t="shared" si="17"/>
        <v>11189.44041029212</v>
      </c>
      <c r="Q24" s="34">
        <v>1794</v>
      </c>
      <c r="R24" s="34">
        <v>4028</v>
      </c>
      <c r="S24" s="40"/>
      <c r="T24" s="41"/>
      <c r="U24" s="40"/>
      <c r="V24" s="41"/>
      <c r="W24" s="34">
        <f t="shared" si="11"/>
        <v>6831.1510234375</v>
      </c>
      <c r="X24" s="34">
        <f t="shared" si="12"/>
        <v>11481.96628736413</v>
      </c>
      <c r="Y24" s="34">
        <v>16394.759999999998</v>
      </c>
      <c r="Z24" s="34">
        <v>27556.720703125</v>
      </c>
      <c r="AA24" s="37"/>
      <c r="AB24" s="38"/>
      <c r="AC24" s="38"/>
      <c r="AD24" s="38"/>
      <c r="AE24" s="38"/>
      <c r="AF24" s="38"/>
      <c r="AG24" s="42">
        <v>14000</v>
      </c>
      <c r="AH24" s="42">
        <f t="shared" si="13"/>
        <v>15000</v>
      </c>
      <c r="AI24" s="15">
        <v>33272.36328125</v>
      </c>
      <c r="AJ24" s="15">
        <v>13579.9912109375</v>
      </c>
      <c r="AK24" s="15">
        <v>10</v>
      </c>
      <c r="AL24" s="15">
        <v>20</v>
      </c>
      <c r="AM24" s="15">
        <v>0</v>
      </c>
      <c r="AN24" s="15">
        <v>40</v>
      </c>
      <c r="AO24" s="15">
        <v>30</v>
      </c>
      <c r="AP24" s="15">
        <v>0</v>
      </c>
      <c r="AQ24" s="43">
        <f t="shared" si="14"/>
        <v>3503.9146953125</v>
      </c>
      <c r="AR24" s="43">
        <f t="shared" si="15"/>
        <v>11481.96628736413</v>
      </c>
    </row>
    <row r="25" spans="1:44" s="48" customFormat="1" ht="20.100000000000001" customHeight="1">
      <c r="A25" s="33" t="str">
        <f t="shared" si="2"/>
        <v>K15+000.000～K16+000.000</v>
      </c>
      <c r="B25" s="44">
        <f t="shared" si="3"/>
        <v>1000</v>
      </c>
      <c r="C25" s="44">
        <f t="shared" si="4"/>
        <v>33560.75</v>
      </c>
      <c r="D25" s="44">
        <f t="shared" si="18"/>
        <v>3356.0749999999998</v>
      </c>
      <c r="E25" s="44">
        <f t="shared" si="18"/>
        <v>6712.15</v>
      </c>
      <c r="F25" s="44">
        <f t="shared" si="18"/>
        <v>0</v>
      </c>
      <c r="G25" s="44">
        <f t="shared" si="18"/>
        <v>13424.3</v>
      </c>
      <c r="H25" s="44">
        <f t="shared" si="18"/>
        <v>10068.225</v>
      </c>
      <c r="I25" s="44">
        <f t="shared" si="18"/>
        <v>0</v>
      </c>
      <c r="J25" s="44">
        <f t="shared" si="5"/>
        <v>69317.328125</v>
      </c>
      <c r="K25" s="44">
        <f t="shared" si="6"/>
        <v>13863.465625000001</v>
      </c>
      <c r="L25" s="44">
        <f t="shared" si="7"/>
        <v>55453.862500000003</v>
      </c>
      <c r="M25" s="44">
        <f t="shared" si="8"/>
        <v>790.21754062500008</v>
      </c>
      <c r="N25" s="44">
        <f t="shared" si="9"/>
        <v>3160.8701625000003</v>
      </c>
      <c r="O25" s="44">
        <f>E25+F25-M25</f>
        <v>5921.9324593749998</v>
      </c>
      <c r="P25" s="44">
        <f>G25+H25+I25-N25</f>
        <v>20331.654837500002</v>
      </c>
      <c r="Q25" s="34">
        <v>3985</v>
      </c>
      <c r="R25" s="34">
        <v>10918</v>
      </c>
      <c r="S25" s="40"/>
      <c r="T25" s="41"/>
      <c r="U25" s="40"/>
      <c r="V25" s="41"/>
      <c r="W25" s="34">
        <f t="shared" si="11"/>
        <v>3356.0749999999998</v>
      </c>
      <c r="X25" s="44">
        <v>0</v>
      </c>
      <c r="Y25" s="44">
        <v>4698.5</v>
      </c>
      <c r="Z25" s="44">
        <v>0</v>
      </c>
      <c r="AA25" s="45"/>
      <c r="AB25" s="46"/>
      <c r="AC25" s="46"/>
      <c r="AD25" s="46"/>
      <c r="AE25" s="46"/>
      <c r="AF25" s="46"/>
      <c r="AG25" s="47">
        <v>15000</v>
      </c>
      <c r="AH25" s="47">
        <f t="shared" si="13"/>
        <v>16000</v>
      </c>
      <c r="AI25" s="48">
        <v>33560.75</v>
      </c>
      <c r="AJ25" s="48">
        <v>69317.328125</v>
      </c>
      <c r="AK25" s="48">
        <v>10</v>
      </c>
      <c r="AL25" s="48">
        <v>20</v>
      </c>
      <c r="AM25" s="48">
        <v>0</v>
      </c>
      <c r="AN25" s="48">
        <v>40</v>
      </c>
      <c r="AO25" s="48">
        <v>30</v>
      </c>
      <c r="AP25" s="48">
        <v>0</v>
      </c>
      <c r="AQ25" s="49">
        <f t="shared" si="14"/>
        <v>0</v>
      </c>
      <c r="AR25" s="49">
        <f t="shared" si="15"/>
        <v>0</v>
      </c>
    </row>
    <row r="26" spans="1:44" s="48" customFormat="1" ht="20.100000000000001" customHeight="1">
      <c r="A26" s="33" t="str">
        <f t="shared" si="2"/>
        <v>K16+000.000～K17+000.000</v>
      </c>
      <c r="B26" s="44">
        <f t="shared" si="3"/>
        <v>1000</v>
      </c>
      <c r="C26" s="44">
        <f t="shared" si="4"/>
        <v>42017.44921875</v>
      </c>
      <c r="D26" s="44">
        <f t="shared" si="18"/>
        <v>4201.7449218749998</v>
      </c>
      <c r="E26" s="44">
        <f t="shared" si="18"/>
        <v>8403.4898437499996</v>
      </c>
      <c r="F26" s="44">
        <f t="shared" si="18"/>
        <v>0</v>
      </c>
      <c r="G26" s="44">
        <f t="shared" si="18"/>
        <v>16806.979687499999</v>
      </c>
      <c r="H26" s="44">
        <f t="shared" si="18"/>
        <v>12605.234765625</v>
      </c>
      <c r="I26" s="44">
        <f t="shared" si="18"/>
        <v>0</v>
      </c>
      <c r="J26" s="44">
        <f t="shared" si="5"/>
        <v>31489.486328125</v>
      </c>
      <c r="K26" s="44">
        <f t="shared" si="6"/>
        <v>6297.8972656250007</v>
      </c>
      <c r="L26" s="44">
        <f t="shared" si="7"/>
        <v>25191.589062499999</v>
      </c>
      <c r="M26" s="44">
        <f t="shared" si="8"/>
        <v>358.98014414062504</v>
      </c>
      <c r="N26" s="44">
        <f t="shared" si="9"/>
        <v>1435.9205765625002</v>
      </c>
      <c r="O26" s="44">
        <v>8044.5096996093744</v>
      </c>
      <c r="P26" s="44">
        <v>27976.2938765625</v>
      </c>
      <c r="Q26" s="34">
        <v>4577</v>
      </c>
      <c r="R26" s="34">
        <v>16785</v>
      </c>
      <c r="S26" s="40"/>
      <c r="T26" s="41"/>
      <c r="U26" s="40"/>
      <c r="V26" s="41"/>
      <c r="W26" s="34">
        <f t="shared" si="11"/>
        <v>4201.7449218749998</v>
      </c>
      <c r="X26" s="44">
        <v>0</v>
      </c>
      <c r="Y26" s="44">
        <v>2137.85</v>
      </c>
      <c r="Z26" s="44">
        <v>0</v>
      </c>
      <c r="AA26" s="45"/>
      <c r="AB26" s="46"/>
      <c r="AC26" s="46"/>
      <c r="AD26" s="46"/>
      <c r="AE26" s="46"/>
      <c r="AF26" s="46"/>
      <c r="AG26" s="47">
        <v>16000</v>
      </c>
      <c r="AH26" s="47">
        <f t="shared" si="13"/>
        <v>17000</v>
      </c>
      <c r="AI26" s="48">
        <v>42017.44921875</v>
      </c>
      <c r="AJ26" s="48">
        <v>31489.486328125</v>
      </c>
      <c r="AK26" s="48">
        <v>10</v>
      </c>
      <c r="AL26" s="48">
        <v>20</v>
      </c>
      <c r="AM26" s="48">
        <v>0</v>
      </c>
      <c r="AN26" s="48">
        <v>40</v>
      </c>
      <c r="AO26" s="48">
        <v>30</v>
      </c>
      <c r="AP26" s="48">
        <v>0</v>
      </c>
      <c r="AQ26" s="49">
        <f t="shared" si="14"/>
        <v>0</v>
      </c>
      <c r="AR26" s="49">
        <f t="shared" si="15"/>
        <v>0</v>
      </c>
    </row>
    <row r="27" spans="1:44" s="48" customFormat="1" ht="20.100000000000001" customHeight="1">
      <c r="A27" s="33" t="str">
        <f t="shared" si="2"/>
        <v>K17+000.000～K18+000.000</v>
      </c>
      <c r="B27" s="44">
        <f t="shared" si="3"/>
        <v>1000</v>
      </c>
      <c r="C27" s="44">
        <f t="shared" si="4"/>
        <v>60995.5546875</v>
      </c>
      <c r="D27" s="44">
        <f t="shared" si="18"/>
        <v>6099.5554687499998</v>
      </c>
      <c r="E27" s="44">
        <f t="shared" si="18"/>
        <v>12199.1109375</v>
      </c>
      <c r="F27" s="44">
        <f t="shared" si="18"/>
        <v>0</v>
      </c>
      <c r="G27" s="44">
        <f t="shared" si="18"/>
        <v>24398.221874999999</v>
      </c>
      <c r="H27" s="44">
        <f t="shared" si="18"/>
        <v>18298.666406249999</v>
      </c>
      <c r="I27" s="44">
        <f t="shared" si="18"/>
        <v>0</v>
      </c>
      <c r="J27" s="44">
        <f t="shared" si="5"/>
        <v>14004.5517578125</v>
      </c>
      <c r="K27" s="44">
        <f t="shared" si="6"/>
        <v>2800.9103515625002</v>
      </c>
      <c r="L27" s="44">
        <f t="shared" si="7"/>
        <v>11203.641406250001</v>
      </c>
      <c r="M27" s="44">
        <f t="shared" si="8"/>
        <v>159.65189003906252</v>
      </c>
      <c r="N27" s="44">
        <f t="shared" si="9"/>
        <v>638.60756015625009</v>
      </c>
      <c r="O27" s="44">
        <v>11360.945227148439</v>
      </c>
      <c r="P27" s="44">
        <v>42058.280721093746</v>
      </c>
      <c r="Q27" s="34">
        <v>8338</v>
      </c>
      <c r="R27" s="34">
        <v>30660</v>
      </c>
      <c r="S27" s="40"/>
      <c r="T27" s="41"/>
      <c r="U27" s="40"/>
      <c r="V27" s="41"/>
      <c r="W27" s="34">
        <f t="shared" si="11"/>
        <v>6778.0692890624987</v>
      </c>
      <c r="X27" s="44">
        <v>0</v>
      </c>
      <c r="Y27" s="44">
        <v>9917.67</v>
      </c>
      <c r="Z27" s="44">
        <v>0</v>
      </c>
      <c r="AA27" s="45"/>
      <c r="AB27" s="46"/>
      <c r="AC27" s="46"/>
      <c r="AD27" s="46"/>
      <c r="AE27" s="46"/>
      <c r="AF27" s="46"/>
      <c r="AG27" s="47">
        <v>17000</v>
      </c>
      <c r="AH27" s="47">
        <f t="shared" si="13"/>
        <v>18000</v>
      </c>
      <c r="AI27" s="48">
        <v>60995.5546875</v>
      </c>
      <c r="AJ27" s="48">
        <v>14004.5517578125</v>
      </c>
      <c r="AK27" s="48">
        <v>10</v>
      </c>
      <c r="AL27" s="48">
        <v>20</v>
      </c>
      <c r="AM27" s="48">
        <v>0</v>
      </c>
      <c r="AN27" s="48">
        <v>40</v>
      </c>
      <c r="AO27" s="48">
        <v>30</v>
      </c>
      <c r="AP27" s="48">
        <v>0</v>
      </c>
      <c r="AQ27" s="49">
        <f t="shared" si="14"/>
        <v>678.51382031249886</v>
      </c>
      <c r="AR27" s="49">
        <f t="shared" si="15"/>
        <v>0</v>
      </c>
    </row>
    <row r="28" spans="1:44" s="48" customFormat="1" ht="20.100000000000001" customHeight="1">
      <c r="A28" s="33" t="str">
        <f t="shared" si="2"/>
        <v>K18+000.000～K19+000.000</v>
      </c>
      <c r="B28" s="44">
        <f t="shared" si="3"/>
        <v>1000</v>
      </c>
      <c r="C28" s="44">
        <f t="shared" si="4"/>
        <v>68799.921875</v>
      </c>
      <c r="D28" s="44">
        <f t="shared" si="18"/>
        <v>6879.9921875</v>
      </c>
      <c r="E28" s="44">
        <f t="shared" si="18"/>
        <v>13759.984375</v>
      </c>
      <c r="F28" s="44">
        <f t="shared" si="18"/>
        <v>0</v>
      </c>
      <c r="G28" s="44">
        <f t="shared" si="18"/>
        <v>27519.96875</v>
      </c>
      <c r="H28" s="44">
        <f t="shared" si="18"/>
        <v>20639.9765625</v>
      </c>
      <c r="I28" s="44">
        <f t="shared" si="18"/>
        <v>0</v>
      </c>
      <c r="J28" s="44">
        <f t="shared" si="5"/>
        <v>29505.72265625</v>
      </c>
      <c r="K28" s="44">
        <f t="shared" si="6"/>
        <v>5901.14453125</v>
      </c>
      <c r="L28" s="44">
        <f t="shared" si="7"/>
        <v>23604.578125</v>
      </c>
      <c r="M28" s="44">
        <f t="shared" si="8"/>
        <v>336.36523828125002</v>
      </c>
      <c r="N28" s="44">
        <f t="shared" si="9"/>
        <v>1345.4609531250001</v>
      </c>
      <c r="O28" s="44">
        <v>6508.9624179687498</v>
      </c>
      <c r="P28" s="44">
        <v>28546.032066576081</v>
      </c>
      <c r="Q28" s="34">
        <v>2779</v>
      </c>
      <c r="R28" s="34">
        <v>14472</v>
      </c>
      <c r="S28" s="40"/>
      <c r="T28" s="41"/>
      <c r="U28" s="40"/>
      <c r="V28" s="41"/>
      <c r="W28" s="34">
        <f t="shared" si="11"/>
        <v>13794.64890625</v>
      </c>
      <c r="X28" s="44">
        <v>18268.452292798916</v>
      </c>
      <c r="Y28" s="44">
        <v>13794.65</v>
      </c>
      <c r="Z28" s="44">
        <v>18268.44921875</v>
      </c>
      <c r="AA28" s="45"/>
      <c r="AB28" s="46"/>
      <c r="AC28" s="46"/>
      <c r="AD28" s="46"/>
      <c r="AE28" s="46"/>
      <c r="AF28" s="46"/>
      <c r="AG28" s="47">
        <v>18000</v>
      </c>
      <c r="AH28" s="47">
        <f t="shared" si="13"/>
        <v>19000</v>
      </c>
      <c r="AI28" s="48">
        <v>68799.921875</v>
      </c>
      <c r="AJ28" s="48">
        <v>29505.72265625</v>
      </c>
      <c r="AK28" s="48">
        <v>10</v>
      </c>
      <c r="AL28" s="48">
        <v>20</v>
      </c>
      <c r="AM28" s="48">
        <v>0</v>
      </c>
      <c r="AN28" s="48">
        <v>40</v>
      </c>
      <c r="AO28" s="48">
        <v>30</v>
      </c>
      <c r="AP28" s="48">
        <v>0</v>
      </c>
      <c r="AQ28" s="49">
        <f t="shared" si="14"/>
        <v>6914.6567187499995</v>
      </c>
      <c r="AR28" s="49">
        <f t="shared" si="15"/>
        <v>18268.452292798916</v>
      </c>
    </row>
    <row r="29" spans="1:44" s="52" customFormat="1" ht="20.100000000000001" customHeight="1">
      <c r="A29" s="33" t="str">
        <f t="shared" si="2"/>
        <v>K19+000.000～K20+000.000</v>
      </c>
      <c r="B29" s="44">
        <f t="shared" si="3"/>
        <v>1000</v>
      </c>
      <c r="C29" s="44">
        <f t="shared" si="4"/>
        <v>22250.833984375</v>
      </c>
      <c r="D29" s="44">
        <f t="shared" si="18"/>
        <v>2225.0833984374999</v>
      </c>
      <c r="E29" s="44">
        <f t="shared" si="18"/>
        <v>4450.1667968749998</v>
      </c>
      <c r="F29" s="44">
        <f t="shared" si="18"/>
        <v>0</v>
      </c>
      <c r="G29" s="44">
        <f t="shared" si="18"/>
        <v>8900.3335937499996</v>
      </c>
      <c r="H29" s="44">
        <f t="shared" si="18"/>
        <v>6675.2501953125002</v>
      </c>
      <c r="I29" s="44">
        <f t="shared" si="18"/>
        <v>0</v>
      </c>
      <c r="J29" s="44">
        <f t="shared" si="5"/>
        <v>8148.71044921875</v>
      </c>
      <c r="K29" s="44">
        <f t="shared" si="6"/>
        <v>1629.7420898437501</v>
      </c>
      <c r="L29" s="44">
        <f t="shared" si="7"/>
        <v>6518.9683593749996</v>
      </c>
      <c r="M29" s="44">
        <f t="shared" si="8"/>
        <v>92.895299121093757</v>
      </c>
      <c r="N29" s="44">
        <f t="shared" si="9"/>
        <v>371.58119648437503</v>
      </c>
      <c r="O29" s="44">
        <v>2543.208446972656</v>
      </c>
      <c r="P29" s="44">
        <v>10670.328467238451</v>
      </c>
      <c r="Q29" s="34">
        <v>1887</v>
      </c>
      <c r="R29" s="34">
        <v>3542</v>
      </c>
      <c r="S29" s="40"/>
      <c r="T29" s="41"/>
      <c r="U29" s="40"/>
      <c r="V29" s="41"/>
      <c r="W29" s="34">
        <f t="shared" si="11"/>
        <v>4039.1464492187501</v>
      </c>
      <c r="X29" s="44">
        <f t="shared" si="12"/>
        <v>4533.6741253396758</v>
      </c>
      <c r="Y29" s="50">
        <v>6103.35</v>
      </c>
      <c r="Z29" s="50">
        <v>6850.60986328125</v>
      </c>
      <c r="AA29" s="51"/>
      <c r="AG29" s="47">
        <v>19000</v>
      </c>
      <c r="AH29" s="47">
        <f t="shared" si="13"/>
        <v>20000</v>
      </c>
      <c r="AI29" s="52">
        <v>22250.833984375</v>
      </c>
      <c r="AJ29" s="52">
        <v>8148.71044921875</v>
      </c>
      <c r="AK29" s="48">
        <v>10</v>
      </c>
      <c r="AL29" s="48">
        <v>20</v>
      </c>
      <c r="AM29" s="48">
        <v>0</v>
      </c>
      <c r="AN29" s="48">
        <v>40</v>
      </c>
      <c r="AO29" s="48">
        <v>30</v>
      </c>
      <c r="AP29" s="48">
        <v>0</v>
      </c>
      <c r="AQ29" s="49">
        <f t="shared" si="14"/>
        <v>1814.0630507812502</v>
      </c>
      <c r="AR29" s="49">
        <f t="shared" si="15"/>
        <v>4533.6741253396758</v>
      </c>
    </row>
    <row r="30" spans="1:44" s="52" customFormat="1" ht="20.100000000000001" customHeight="1">
      <c r="A30" s="33" t="str">
        <f t="shared" si="2"/>
        <v>K20+000.000～K21+000.000</v>
      </c>
      <c r="B30" s="44">
        <f t="shared" si="3"/>
        <v>1000</v>
      </c>
      <c r="C30" s="44">
        <f t="shared" si="4"/>
        <v>23404.6640625</v>
      </c>
      <c r="D30" s="44">
        <f t="shared" si="18"/>
        <v>2340.4664062500001</v>
      </c>
      <c r="E30" s="44">
        <f t="shared" si="18"/>
        <v>4680.9328125000002</v>
      </c>
      <c r="F30" s="44">
        <f t="shared" si="18"/>
        <v>0</v>
      </c>
      <c r="G30" s="44">
        <f t="shared" si="18"/>
        <v>9361.8656250000004</v>
      </c>
      <c r="H30" s="44">
        <f t="shared" si="18"/>
        <v>7021.3992187499998</v>
      </c>
      <c r="I30" s="44">
        <f t="shared" si="18"/>
        <v>0</v>
      </c>
      <c r="J30" s="44">
        <f t="shared" si="5"/>
        <v>23390.240234375</v>
      </c>
      <c r="K30" s="44">
        <f t="shared" si="6"/>
        <v>4678.0480468750002</v>
      </c>
      <c r="L30" s="44">
        <f t="shared" si="7"/>
        <v>18712.192187500001</v>
      </c>
      <c r="M30" s="44">
        <f t="shared" si="8"/>
        <v>266.64873867187504</v>
      </c>
      <c r="N30" s="44">
        <f t="shared" si="9"/>
        <v>1066.5949546875001</v>
      </c>
      <c r="O30" s="44">
        <f>E30+F30-M30</f>
        <v>4414.2840738281247</v>
      </c>
      <c r="P30" s="44">
        <f>G30+H30+I30-N30</f>
        <v>15316.669889062499</v>
      </c>
      <c r="Q30" s="34">
        <v>2767</v>
      </c>
      <c r="R30" s="34">
        <v>10583</v>
      </c>
      <c r="S30" s="40"/>
      <c r="T30" s="41"/>
      <c r="U30" s="40"/>
      <c r="V30" s="41"/>
      <c r="W30" s="34">
        <f t="shared" si="11"/>
        <v>2340.4664062500001</v>
      </c>
      <c r="X30" s="44"/>
      <c r="Y30" s="50">
        <v>1152.8</v>
      </c>
      <c r="Z30" s="50">
        <v>0</v>
      </c>
      <c r="AA30" s="51"/>
      <c r="AG30" s="47">
        <v>20000</v>
      </c>
      <c r="AH30" s="47">
        <f t="shared" si="13"/>
        <v>21000</v>
      </c>
      <c r="AI30" s="52">
        <v>23404.6640625</v>
      </c>
      <c r="AJ30" s="52">
        <v>23390.240234375</v>
      </c>
      <c r="AK30" s="48">
        <v>10</v>
      </c>
      <c r="AL30" s="48">
        <v>20</v>
      </c>
      <c r="AM30" s="48">
        <v>0</v>
      </c>
      <c r="AN30" s="48">
        <v>40</v>
      </c>
      <c r="AO30" s="48">
        <v>30</v>
      </c>
      <c r="AP30" s="48">
        <v>0</v>
      </c>
      <c r="AQ30" s="49">
        <f t="shared" si="14"/>
        <v>0</v>
      </c>
      <c r="AR30" s="49">
        <f t="shared" si="15"/>
        <v>0</v>
      </c>
    </row>
    <row r="31" spans="1:44" s="55" customFormat="1" ht="20.100000000000001" customHeight="1">
      <c r="A31" s="33" t="str">
        <f t="shared" si="2"/>
        <v>K21+000.000～K22+000.000</v>
      </c>
      <c r="B31" s="34">
        <f t="shared" si="3"/>
        <v>1000</v>
      </c>
      <c r="C31" s="34">
        <f t="shared" si="4"/>
        <v>19402.587890625</v>
      </c>
      <c r="D31" s="34">
        <f t="shared" si="18"/>
        <v>1940.2587890625</v>
      </c>
      <c r="E31" s="34">
        <f t="shared" si="18"/>
        <v>3880.517578125</v>
      </c>
      <c r="F31" s="34">
        <f t="shared" si="18"/>
        <v>0</v>
      </c>
      <c r="G31" s="34">
        <f t="shared" si="18"/>
        <v>7761.03515625</v>
      </c>
      <c r="H31" s="34">
        <f t="shared" si="18"/>
        <v>5820.7763671875</v>
      </c>
      <c r="I31" s="34">
        <f t="shared" si="18"/>
        <v>0</v>
      </c>
      <c r="J31" s="34">
        <f t="shared" si="5"/>
        <v>3906.375244140625</v>
      </c>
      <c r="K31" s="34">
        <f t="shared" si="6"/>
        <v>781.27504882812502</v>
      </c>
      <c r="L31" s="34">
        <f t="shared" si="7"/>
        <v>3125.1001953125001</v>
      </c>
      <c r="M31" s="34">
        <f t="shared" si="8"/>
        <v>44.532677783203127</v>
      </c>
      <c r="N31" s="34">
        <f t="shared" si="9"/>
        <v>178.13071113281251</v>
      </c>
      <c r="O31" s="34">
        <f t="shared" si="1"/>
        <v>861.74637885742186</v>
      </c>
      <c r="P31" s="34">
        <f t="shared" si="17"/>
        <v>3218.7173272503396</v>
      </c>
      <c r="Q31" s="34">
        <v>292</v>
      </c>
      <c r="R31" s="34">
        <v>1960</v>
      </c>
      <c r="S31" s="40"/>
      <c r="T31" s="41"/>
      <c r="U31" s="40"/>
      <c r="V31" s="41"/>
      <c r="W31" s="34">
        <f t="shared" si="11"/>
        <v>4914.4973105468744</v>
      </c>
      <c r="X31" s="34">
        <f t="shared" si="12"/>
        <v>10184.963485054348</v>
      </c>
      <c r="Y31" s="53">
        <v>4637.07</v>
      </c>
      <c r="Z31" s="53">
        <v>9610.01953125</v>
      </c>
      <c r="AA31" s="54"/>
      <c r="AG31" s="42">
        <v>21000</v>
      </c>
      <c r="AH31" s="42">
        <f t="shared" si="13"/>
        <v>22000</v>
      </c>
      <c r="AI31" s="55">
        <v>19402.587890625</v>
      </c>
      <c r="AJ31" s="55">
        <v>3906.375244140625</v>
      </c>
      <c r="AK31" s="15">
        <v>10</v>
      </c>
      <c r="AL31" s="15">
        <v>20</v>
      </c>
      <c r="AM31" s="15">
        <v>0</v>
      </c>
      <c r="AN31" s="15">
        <v>40</v>
      </c>
      <c r="AO31" s="15">
        <v>30</v>
      </c>
      <c r="AP31" s="15">
        <v>0</v>
      </c>
      <c r="AQ31" s="43">
        <f t="shared" si="14"/>
        <v>2974.2385214843748</v>
      </c>
      <c r="AR31" s="43">
        <f t="shared" si="15"/>
        <v>10184.963485054348</v>
      </c>
    </row>
    <row r="32" spans="1:44" s="52" customFormat="1" ht="20.100000000000001" customHeight="1">
      <c r="A32" s="33" t="str">
        <f t="shared" si="2"/>
        <v>K22+000.000～K22+183.681</v>
      </c>
      <c r="B32" s="44">
        <f t="shared" si="3"/>
        <v>183.68100000000049</v>
      </c>
      <c r="C32" s="44">
        <f t="shared" si="4"/>
        <v>1958.3382568359375</v>
      </c>
      <c r="D32" s="44">
        <f t="shared" si="18"/>
        <v>195.83382568359374</v>
      </c>
      <c r="E32" s="44">
        <f t="shared" si="18"/>
        <v>391.66765136718749</v>
      </c>
      <c r="F32" s="44">
        <f t="shared" si="18"/>
        <v>0</v>
      </c>
      <c r="G32" s="44">
        <f t="shared" si="18"/>
        <v>783.33530273437498</v>
      </c>
      <c r="H32" s="44">
        <f t="shared" si="18"/>
        <v>587.5014770507812</v>
      </c>
      <c r="I32" s="44">
        <f t="shared" si="18"/>
        <v>0</v>
      </c>
      <c r="J32" s="44">
        <f t="shared" si="5"/>
        <v>3399.66552734375</v>
      </c>
      <c r="K32" s="44">
        <f t="shared" si="6"/>
        <v>679.93310546875</v>
      </c>
      <c r="L32" s="44">
        <f t="shared" si="7"/>
        <v>2719.732421875</v>
      </c>
      <c r="M32" s="44">
        <f t="shared" si="8"/>
        <v>38.756187011718751</v>
      </c>
      <c r="N32" s="44">
        <f t="shared" si="9"/>
        <v>155.024748046875</v>
      </c>
      <c r="O32" s="44">
        <f>E32+F32-M32</f>
        <v>352.91146435546875</v>
      </c>
      <c r="P32" s="44">
        <f>G32+H32+I32-N32</f>
        <v>1215.8120317382811</v>
      </c>
      <c r="Q32" s="34">
        <v>31</v>
      </c>
      <c r="R32" s="34">
        <v>128</v>
      </c>
      <c r="S32" s="40"/>
      <c r="T32" s="41"/>
      <c r="U32" s="40"/>
      <c r="V32" s="41"/>
      <c r="W32" s="34">
        <f t="shared" si="11"/>
        <v>195.83382568359374</v>
      </c>
      <c r="X32" s="44">
        <f t="shared" si="12"/>
        <v>0</v>
      </c>
      <c r="Y32" s="50">
        <v>105.39</v>
      </c>
      <c r="Z32" s="50">
        <v>0</v>
      </c>
      <c r="AA32" s="51"/>
      <c r="AG32" s="47">
        <v>22000</v>
      </c>
      <c r="AH32" s="47">
        <f t="shared" si="13"/>
        <v>22183.681</v>
      </c>
      <c r="AI32" s="52">
        <v>1958.3382568359375</v>
      </c>
      <c r="AJ32" s="52">
        <v>3399.66552734375</v>
      </c>
      <c r="AK32" s="48">
        <v>10</v>
      </c>
      <c r="AL32" s="48">
        <v>20</v>
      </c>
      <c r="AM32" s="48">
        <v>0</v>
      </c>
      <c r="AN32" s="48">
        <v>40</v>
      </c>
      <c r="AO32" s="48">
        <v>30</v>
      </c>
      <c r="AP32" s="48">
        <v>0</v>
      </c>
      <c r="AQ32" s="49">
        <f t="shared" si="14"/>
        <v>0</v>
      </c>
      <c r="AR32" s="49">
        <f t="shared" si="15"/>
        <v>0</v>
      </c>
    </row>
    <row r="33" spans="1:44" s="52" customFormat="1" ht="20.100000000000001" customHeight="1">
      <c r="A33" s="33" t="str">
        <f t="shared" si="2"/>
        <v>K22+183.681～K22+720.000</v>
      </c>
      <c r="B33" s="44">
        <f t="shared" si="3"/>
        <v>536.31899999999951</v>
      </c>
      <c r="C33" s="44">
        <f t="shared" si="4"/>
        <v>2657.272705078125</v>
      </c>
      <c r="D33" s="44">
        <f t="shared" si="18"/>
        <v>265.72727050781248</v>
      </c>
      <c r="E33" s="44">
        <f t="shared" si="18"/>
        <v>531.45454101562495</v>
      </c>
      <c r="F33" s="44">
        <f t="shared" si="18"/>
        <v>0</v>
      </c>
      <c r="G33" s="44">
        <f t="shared" si="18"/>
        <v>1062.9090820312499</v>
      </c>
      <c r="H33" s="44">
        <f t="shared" si="18"/>
        <v>797.18181152343755</v>
      </c>
      <c r="I33" s="44">
        <f t="shared" si="18"/>
        <v>0</v>
      </c>
      <c r="J33" s="44">
        <f t="shared" si="5"/>
        <v>6718.3232421875</v>
      </c>
      <c r="K33" s="44">
        <f t="shared" si="6"/>
        <v>1343.6646484375001</v>
      </c>
      <c r="L33" s="44">
        <f t="shared" si="7"/>
        <v>5374.6585937500004</v>
      </c>
      <c r="M33" s="44">
        <f t="shared" si="8"/>
        <v>76.588884960937506</v>
      </c>
      <c r="N33" s="44">
        <f t="shared" si="9"/>
        <v>306.35553984375002</v>
      </c>
      <c r="O33" s="44">
        <f>E33+F33-M33</f>
        <v>454.86565605468746</v>
      </c>
      <c r="P33" s="44">
        <f>G33+H33+I33-N33</f>
        <v>1553.7353537109375</v>
      </c>
      <c r="Q33" s="34">
        <v>92</v>
      </c>
      <c r="R33" s="34">
        <v>492</v>
      </c>
      <c r="S33" s="40"/>
      <c r="T33" s="41"/>
      <c r="U33" s="40"/>
      <c r="V33" s="41"/>
      <c r="W33" s="34">
        <f t="shared" si="11"/>
        <v>265.72727050781248</v>
      </c>
      <c r="X33" s="44">
        <f t="shared" si="12"/>
        <v>0</v>
      </c>
      <c r="Y33" s="50">
        <v>711.55</v>
      </c>
      <c r="Z33" s="50">
        <v>0</v>
      </c>
      <c r="AA33" s="51"/>
      <c r="AG33" s="47">
        <v>22183.681</v>
      </c>
      <c r="AH33" s="56">
        <v>22720</v>
      </c>
      <c r="AI33" s="52">
        <v>2657.272705078125</v>
      </c>
      <c r="AJ33" s="52">
        <v>6718.3232421875</v>
      </c>
      <c r="AK33" s="48">
        <v>10</v>
      </c>
      <c r="AL33" s="48">
        <v>20</v>
      </c>
      <c r="AM33" s="48">
        <v>0</v>
      </c>
      <c r="AN33" s="48">
        <v>40</v>
      </c>
      <c r="AO33" s="48">
        <v>30</v>
      </c>
      <c r="AP33" s="48">
        <v>0</v>
      </c>
      <c r="AQ33" s="49">
        <f t="shared" si="14"/>
        <v>0</v>
      </c>
      <c r="AR33" s="49">
        <f t="shared" si="15"/>
        <v>0</v>
      </c>
    </row>
    <row r="34" spans="1:44" s="48" customFormat="1" ht="20.100000000000001" customHeight="1" thickBot="1">
      <c r="A34" s="57" t="str">
        <f>TEXT(ROUND(AG34,0),"K0+000.000")&amp;"～"&amp;TEXT(ROUND(AH34,0),"K0+000.000")&amp;"阳溪隧道"</f>
        <v>K22+720.000～K23+575.000阳溪隧道</v>
      </c>
      <c r="B34" s="58">
        <f t="shared" si="3"/>
        <v>855</v>
      </c>
      <c r="C34" s="58">
        <f t="shared" si="4"/>
        <v>0</v>
      </c>
      <c r="D34" s="58">
        <f t="shared" si="18"/>
        <v>0</v>
      </c>
      <c r="E34" s="58">
        <f t="shared" si="18"/>
        <v>0</v>
      </c>
      <c r="F34" s="58">
        <f t="shared" si="18"/>
        <v>0</v>
      </c>
      <c r="G34" s="58">
        <f t="shared" si="18"/>
        <v>0</v>
      </c>
      <c r="H34" s="58">
        <f>B34*87</f>
        <v>74385</v>
      </c>
      <c r="I34" s="58">
        <f t="shared" si="18"/>
        <v>0</v>
      </c>
      <c r="J34" s="58">
        <f t="shared" si="5"/>
        <v>0</v>
      </c>
      <c r="K34" s="58">
        <f t="shared" si="6"/>
        <v>0</v>
      </c>
      <c r="L34" s="58">
        <f t="shared" si="7"/>
        <v>0</v>
      </c>
      <c r="M34" s="58">
        <f t="shared" si="8"/>
        <v>0</v>
      </c>
      <c r="N34" s="58">
        <f t="shared" si="9"/>
        <v>0</v>
      </c>
      <c r="O34" s="58">
        <f t="shared" si="1"/>
        <v>0</v>
      </c>
      <c r="P34" s="58">
        <v>6991.5746327488105</v>
      </c>
      <c r="Q34" s="34">
        <v>0</v>
      </c>
      <c r="R34" s="34">
        <v>4208</v>
      </c>
      <c r="S34" s="59"/>
      <c r="T34" s="60"/>
      <c r="U34" s="59"/>
      <c r="V34" s="60"/>
      <c r="W34" s="61">
        <f t="shared" si="11"/>
        <v>0</v>
      </c>
      <c r="X34" s="58">
        <f t="shared" si="12"/>
        <v>67393.425367251184</v>
      </c>
      <c r="Y34" s="58">
        <v>0</v>
      </c>
      <c r="Z34" s="58">
        <v>455074.09375</v>
      </c>
      <c r="AA34" s="62"/>
      <c r="AG34" s="47">
        <v>22720</v>
      </c>
      <c r="AH34" s="47">
        <v>23575</v>
      </c>
      <c r="AQ34" s="49">
        <f t="shared" si="14"/>
        <v>0</v>
      </c>
      <c r="AR34" s="49">
        <f t="shared" si="15"/>
        <v>67393.425367251184</v>
      </c>
    </row>
    <row r="35" spans="1:44" s="24" customFormat="1" ht="20.100000000000001" customHeight="1">
      <c r="A35" s="63" t="str">
        <f t="shared" si="2"/>
        <v>K23+575.000～K24+000.000</v>
      </c>
      <c r="B35" s="64">
        <f t="shared" si="3"/>
        <v>425</v>
      </c>
      <c r="C35" s="64">
        <f t="shared" si="4"/>
        <v>16086.3857421875</v>
      </c>
      <c r="D35" s="64">
        <f t="shared" si="18"/>
        <v>1608.6385742187499</v>
      </c>
      <c r="E35" s="64">
        <f t="shared" si="18"/>
        <v>3217.2771484374998</v>
      </c>
      <c r="F35" s="64">
        <f t="shared" si="18"/>
        <v>0</v>
      </c>
      <c r="G35" s="64">
        <f t="shared" si="18"/>
        <v>6434.5542968749996</v>
      </c>
      <c r="H35" s="64">
        <f t="shared" si="18"/>
        <v>4825.9157226562502</v>
      </c>
      <c r="I35" s="64">
        <f t="shared" si="18"/>
        <v>0</v>
      </c>
      <c r="J35" s="64">
        <f t="shared" si="5"/>
        <v>1671.93310546875</v>
      </c>
      <c r="K35" s="64">
        <f t="shared" si="6"/>
        <v>334.38662109375002</v>
      </c>
      <c r="L35" s="64">
        <f t="shared" si="7"/>
        <v>1337.5464843750001</v>
      </c>
      <c r="M35" s="64">
        <f t="shared" si="8"/>
        <v>19.060037402343749</v>
      </c>
      <c r="N35" s="64">
        <f t="shared" si="9"/>
        <v>76.240149609374996</v>
      </c>
      <c r="O35" s="64">
        <f t="shared" si="1"/>
        <v>368.82844306640624</v>
      </c>
      <c r="P35" s="64">
        <f t="shared" si="17"/>
        <v>1377.6147247112772</v>
      </c>
      <c r="Q35" s="34">
        <v>76</v>
      </c>
      <c r="R35" s="34">
        <v>185</v>
      </c>
      <c r="S35" s="65"/>
      <c r="T35" s="66"/>
      <c r="U35" s="65"/>
      <c r="V35" s="66"/>
      <c r="W35" s="64">
        <f t="shared" si="11"/>
        <v>4438.0272421874997</v>
      </c>
      <c r="X35" s="64">
        <f t="shared" si="12"/>
        <v>9806.6151452105987</v>
      </c>
      <c r="Y35" s="67">
        <v>27606.32</v>
      </c>
      <c r="Z35" s="67">
        <v>61001.1015625</v>
      </c>
      <c r="AA35" s="68"/>
      <c r="AG35" s="69">
        <v>23575</v>
      </c>
      <c r="AH35" s="42">
        <f t="shared" ref="AH35:AH74" si="19">AG36</f>
        <v>24000</v>
      </c>
      <c r="AI35" s="15">
        <v>16086.3857421875</v>
      </c>
      <c r="AJ35" s="15">
        <v>1671.93310546875</v>
      </c>
      <c r="AK35" s="15">
        <v>10</v>
      </c>
      <c r="AL35" s="15">
        <v>20</v>
      </c>
      <c r="AM35" s="15">
        <v>0</v>
      </c>
      <c r="AN35" s="15">
        <v>40</v>
      </c>
      <c r="AO35" s="15">
        <v>30</v>
      </c>
      <c r="AP35" s="15">
        <v>0</v>
      </c>
      <c r="AQ35" s="43">
        <f t="shared" si="14"/>
        <v>2829.3886679687498</v>
      </c>
      <c r="AR35" s="43">
        <f t="shared" si="15"/>
        <v>9806.6151452105987</v>
      </c>
    </row>
    <row r="36" spans="1:44" s="48" customFormat="1" ht="20.100000000000001" customHeight="1">
      <c r="A36" s="33" t="str">
        <f t="shared" si="2"/>
        <v>K24+000.000～K24+577.014</v>
      </c>
      <c r="B36" s="44">
        <f t="shared" si="3"/>
        <v>577.01399999999921</v>
      </c>
      <c r="C36" s="44">
        <f t="shared" si="4"/>
        <v>24407.19921875</v>
      </c>
      <c r="D36" s="44">
        <f t="shared" si="18"/>
        <v>2440.7199218750002</v>
      </c>
      <c r="E36" s="44">
        <f t="shared" si="18"/>
        <v>4881.4398437500004</v>
      </c>
      <c r="F36" s="44">
        <f t="shared" si="18"/>
        <v>0</v>
      </c>
      <c r="G36" s="44">
        <f t="shared" si="18"/>
        <v>9762.8796875000007</v>
      </c>
      <c r="H36" s="44">
        <f t="shared" si="18"/>
        <v>7322.1597656249996</v>
      </c>
      <c r="I36" s="44">
        <f t="shared" si="18"/>
        <v>0</v>
      </c>
      <c r="J36" s="44">
        <f t="shared" si="5"/>
        <v>3085.833984375</v>
      </c>
      <c r="K36" s="44">
        <f t="shared" si="6"/>
        <v>617.16679687500005</v>
      </c>
      <c r="L36" s="44">
        <f t="shared" si="7"/>
        <v>2468.6671875000002</v>
      </c>
      <c r="M36" s="44">
        <f t="shared" si="8"/>
        <v>35.178507421875004</v>
      </c>
      <c r="N36" s="44">
        <f t="shared" si="9"/>
        <v>140.71402968750002</v>
      </c>
      <c r="O36" s="44">
        <v>2218.9625707031255</v>
      </c>
      <c r="P36" s="44">
        <v>9142.8137896059725</v>
      </c>
      <c r="Q36" s="34">
        <v>721</v>
      </c>
      <c r="R36" s="34">
        <v>3967</v>
      </c>
      <c r="S36" s="40"/>
      <c r="T36" s="41"/>
      <c r="U36" s="40"/>
      <c r="V36" s="41"/>
      <c r="W36" s="34">
        <f t="shared" si="11"/>
        <v>5068.0186874999999</v>
      </c>
      <c r="X36" s="44">
        <f t="shared" si="12"/>
        <v>7801.5116338315256</v>
      </c>
      <c r="Y36" s="70">
        <v>33051.040000000001</v>
      </c>
      <c r="Z36" s="70">
        <v>50877.5</v>
      </c>
      <c r="AA36" s="71"/>
      <c r="AG36" s="47">
        <v>24000</v>
      </c>
      <c r="AH36" s="47">
        <f t="shared" si="19"/>
        <v>24577.013999999999</v>
      </c>
      <c r="AI36" s="72">
        <v>24407.19921875</v>
      </c>
      <c r="AJ36" s="72">
        <v>3085.833984375</v>
      </c>
      <c r="AK36" s="48">
        <v>10</v>
      </c>
      <c r="AL36" s="48">
        <v>20</v>
      </c>
      <c r="AM36" s="48">
        <v>0</v>
      </c>
      <c r="AN36" s="48">
        <v>40</v>
      </c>
      <c r="AO36" s="48">
        <v>30</v>
      </c>
      <c r="AP36" s="48">
        <v>0</v>
      </c>
      <c r="AQ36" s="49">
        <f t="shared" si="14"/>
        <v>2627.2987656249998</v>
      </c>
      <c r="AR36" s="49">
        <f t="shared" si="15"/>
        <v>7801.5116338315256</v>
      </c>
    </row>
    <row r="37" spans="1:44" s="48" customFormat="1" ht="20.100000000000001" customHeight="1">
      <c r="A37" s="33" t="str">
        <f t="shared" si="2"/>
        <v>K24+577.014～K25+000.000</v>
      </c>
      <c r="B37" s="44">
        <f t="shared" si="3"/>
        <v>422.98600000000079</v>
      </c>
      <c r="C37" s="44">
        <f t="shared" si="4"/>
        <v>16820.5546875</v>
      </c>
      <c r="D37" s="44">
        <f t="shared" si="18"/>
        <v>1682.05546875</v>
      </c>
      <c r="E37" s="44">
        <f t="shared" si="18"/>
        <v>3364.1109375000001</v>
      </c>
      <c r="F37" s="44">
        <f t="shared" si="18"/>
        <v>0</v>
      </c>
      <c r="G37" s="44">
        <f t="shared" si="18"/>
        <v>6728.2218750000002</v>
      </c>
      <c r="H37" s="44">
        <f t="shared" si="18"/>
        <v>5046.1664062500004</v>
      </c>
      <c r="I37" s="44">
        <f t="shared" si="18"/>
        <v>0</v>
      </c>
      <c r="J37" s="44">
        <f t="shared" si="5"/>
        <v>21130.76953125</v>
      </c>
      <c r="K37" s="44">
        <f t="shared" si="6"/>
        <v>4226.1539062500005</v>
      </c>
      <c r="L37" s="44">
        <f t="shared" si="7"/>
        <v>16904.615624999999</v>
      </c>
      <c r="M37" s="44">
        <f t="shared" si="8"/>
        <v>240.89077265625002</v>
      </c>
      <c r="N37" s="44">
        <f t="shared" si="9"/>
        <v>963.56309062500009</v>
      </c>
      <c r="O37" s="44">
        <f>E37+F37-M37</f>
        <v>3123.2201648437499</v>
      </c>
      <c r="P37" s="44">
        <f>G37+H37+I37-N37</f>
        <v>10810.825190625001</v>
      </c>
      <c r="Q37" s="34">
        <v>1049</v>
      </c>
      <c r="R37" s="34">
        <v>2421</v>
      </c>
      <c r="S37" s="40"/>
      <c r="T37" s="41"/>
      <c r="U37" s="40"/>
      <c r="V37" s="41"/>
      <c r="W37" s="34">
        <f t="shared" si="11"/>
        <v>1682.05546875</v>
      </c>
      <c r="X37" s="44">
        <f t="shared" si="12"/>
        <v>0</v>
      </c>
      <c r="Y37" s="70">
        <v>10128.48</v>
      </c>
      <c r="Z37" s="70">
        <v>0</v>
      </c>
      <c r="AA37" s="71"/>
      <c r="AG37" s="47">
        <v>24577.013999999999</v>
      </c>
      <c r="AH37" s="47">
        <f t="shared" si="19"/>
        <v>25000</v>
      </c>
      <c r="AI37" s="48">
        <v>16820.5546875</v>
      </c>
      <c r="AJ37" s="48">
        <v>21130.76953125</v>
      </c>
      <c r="AK37" s="48">
        <v>10</v>
      </c>
      <c r="AL37" s="48">
        <v>20</v>
      </c>
      <c r="AM37" s="48">
        <v>0</v>
      </c>
      <c r="AN37" s="48">
        <v>40</v>
      </c>
      <c r="AO37" s="48">
        <v>30</v>
      </c>
      <c r="AP37" s="48">
        <v>0</v>
      </c>
      <c r="AQ37" s="49">
        <f t="shared" si="14"/>
        <v>0</v>
      </c>
      <c r="AR37" s="49">
        <f t="shared" si="15"/>
        <v>0</v>
      </c>
    </row>
    <row r="38" spans="1:44" ht="20.100000000000001" customHeight="1">
      <c r="A38" s="33" t="str">
        <f t="shared" si="2"/>
        <v>K25+000.000～K26+000.000</v>
      </c>
      <c r="B38" s="34">
        <f t="shared" si="3"/>
        <v>1000</v>
      </c>
      <c r="C38" s="34">
        <f t="shared" si="4"/>
        <v>65347</v>
      </c>
      <c r="D38" s="34">
        <f t="shared" si="18"/>
        <v>6534.7</v>
      </c>
      <c r="E38" s="34">
        <f t="shared" si="18"/>
        <v>13069.4</v>
      </c>
      <c r="F38" s="34">
        <f t="shared" si="18"/>
        <v>0</v>
      </c>
      <c r="G38" s="34">
        <f t="shared" si="18"/>
        <v>26138.799999999999</v>
      </c>
      <c r="H38" s="34">
        <f t="shared" si="18"/>
        <v>19604.099999999999</v>
      </c>
      <c r="I38" s="34">
        <f t="shared" si="18"/>
        <v>0</v>
      </c>
      <c r="J38" s="34">
        <f t="shared" si="5"/>
        <v>8200.0986328125</v>
      </c>
      <c r="K38" s="34">
        <f t="shared" si="6"/>
        <v>1640.0197265625002</v>
      </c>
      <c r="L38" s="34">
        <f t="shared" si="7"/>
        <v>6560.0789062499998</v>
      </c>
      <c r="M38" s="34">
        <f t="shared" si="8"/>
        <v>93.481124414062506</v>
      </c>
      <c r="N38" s="34">
        <f t="shared" si="9"/>
        <v>373.92449765625003</v>
      </c>
      <c r="O38" s="34">
        <f t="shared" si="1"/>
        <v>1808.9417583984375</v>
      </c>
      <c r="P38" s="34">
        <f t="shared" si="17"/>
        <v>6756.5960526154886</v>
      </c>
      <c r="Q38" s="34">
        <v>1429</v>
      </c>
      <c r="R38" s="34">
        <v>3087</v>
      </c>
      <c r="S38" s="40"/>
      <c r="T38" s="41"/>
      <c r="U38" s="40"/>
      <c r="V38" s="41"/>
      <c r="W38" s="34">
        <f t="shared" si="11"/>
        <v>17701.677117187501</v>
      </c>
      <c r="X38" s="34">
        <f t="shared" si="12"/>
        <v>38612.379449728258</v>
      </c>
      <c r="Y38" s="73">
        <v>106937.46</v>
      </c>
      <c r="Z38" s="73">
        <v>233260.921875</v>
      </c>
      <c r="AA38" s="74"/>
      <c r="AG38" s="42">
        <v>25000</v>
      </c>
      <c r="AH38" s="42">
        <f t="shared" si="19"/>
        <v>26000</v>
      </c>
      <c r="AI38" s="15">
        <v>65347</v>
      </c>
      <c r="AJ38" s="15">
        <v>8200.0986328125</v>
      </c>
      <c r="AK38" s="15">
        <v>10</v>
      </c>
      <c r="AL38" s="15">
        <v>20</v>
      </c>
      <c r="AM38" s="15">
        <v>0</v>
      </c>
      <c r="AN38" s="15">
        <v>40</v>
      </c>
      <c r="AO38" s="15">
        <v>30</v>
      </c>
      <c r="AP38" s="15">
        <v>0</v>
      </c>
      <c r="AQ38" s="43">
        <f t="shared" si="14"/>
        <v>11166.9771171875</v>
      </c>
      <c r="AR38" s="43">
        <f t="shared" si="15"/>
        <v>38612.379449728258</v>
      </c>
    </row>
    <row r="39" spans="1:44" ht="20.100000000000001" customHeight="1">
      <c r="A39" s="33" t="str">
        <f t="shared" si="2"/>
        <v>K26+000.000～K26+924.610</v>
      </c>
      <c r="B39" s="34">
        <f t="shared" si="3"/>
        <v>924.61000000000058</v>
      </c>
      <c r="C39" s="34">
        <f t="shared" si="4"/>
        <v>19346.68359375</v>
      </c>
      <c r="D39" s="34">
        <f t="shared" si="18"/>
        <v>1934.6683593749999</v>
      </c>
      <c r="E39" s="34">
        <f t="shared" si="18"/>
        <v>3869.3367187499998</v>
      </c>
      <c r="F39" s="34">
        <f t="shared" si="18"/>
        <v>0</v>
      </c>
      <c r="G39" s="34">
        <f t="shared" si="18"/>
        <v>7738.6734374999996</v>
      </c>
      <c r="H39" s="34">
        <f t="shared" si="18"/>
        <v>5804.0050781250002</v>
      </c>
      <c r="I39" s="34">
        <f t="shared" si="18"/>
        <v>0</v>
      </c>
      <c r="J39" s="34">
        <f t="shared" si="5"/>
        <v>10470.2265625</v>
      </c>
      <c r="K39" s="34">
        <f t="shared" si="6"/>
        <v>2094.0453124999999</v>
      </c>
      <c r="L39" s="34">
        <f t="shared" si="7"/>
        <v>8376.1812499999996</v>
      </c>
      <c r="M39" s="34">
        <f t="shared" si="8"/>
        <v>119.36058281250001</v>
      </c>
      <c r="N39" s="34">
        <f t="shared" si="9"/>
        <v>477.44233125000005</v>
      </c>
      <c r="O39" s="34">
        <f t="shared" si="1"/>
        <v>2309.7319796874995</v>
      </c>
      <c r="P39" s="34">
        <f t="shared" si="17"/>
        <v>8627.1025057065199</v>
      </c>
      <c r="Q39" s="34">
        <v>699</v>
      </c>
      <c r="R39" s="34">
        <v>4882</v>
      </c>
      <c r="S39" s="40"/>
      <c r="T39" s="41"/>
      <c r="U39" s="40"/>
      <c r="V39" s="41"/>
      <c r="W39" s="34">
        <f t="shared" si="11"/>
        <v>3374.9125156250002</v>
      </c>
      <c r="X39" s="34">
        <f t="shared" si="12"/>
        <v>4438.1336786684806</v>
      </c>
      <c r="Y39" s="73">
        <v>19532.97</v>
      </c>
      <c r="Z39" s="73">
        <v>25686.5703125</v>
      </c>
      <c r="AA39" s="74"/>
      <c r="AG39" s="42">
        <v>26000</v>
      </c>
      <c r="AH39" s="42">
        <f t="shared" si="19"/>
        <v>26924.61</v>
      </c>
      <c r="AI39" s="15">
        <v>19346.68359375</v>
      </c>
      <c r="AJ39" s="15">
        <v>10470.2265625</v>
      </c>
      <c r="AK39" s="15">
        <v>10</v>
      </c>
      <c r="AL39" s="15">
        <v>20</v>
      </c>
      <c r="AM39" s="15">
        <v>0</v>
      </c>
      <c r="AN39" s="15">
        <v>40</v>
      </c>
      <c r="AO39" s="15">
        <v>30</v>
      </c>
      <c r="AP39" s="15">
        <v>0</v>
      </c>
      <c r="AQ39" s="43">
        <f t="shared" si="14"/>
        <v>1440.2441562500003</v>
      </c>
      <c r="AR39" s="43">
        <f t="shared" si="15"/>
        <v>4438.1336786684806</v>
      </c>
    </row>
    <row r="40" spans="1:44" s="48" customFormat="1" ht="20.100000000000001" customHeight="1">
      <c r="A40" s="33" t="str">
        <f t="shared" si="2"/>
        <v>K26+924.610～K27+000.000</v>
      </c>
      <c r="B40" s="44">
        <f t="shared" si="3"/>
        <v>75.389999999999418</v>
      </c>
      <c r="C40" s="44">
        <f t="shared" si="4"/>
        <v>3627.7626953125</v>
      </c>
      <c r="D40" s="44">
        <f t="shared" si="18"/>
        <v>362.77626953125002</v>
      </c>
      <c r="E40" s="44">
        <f t="shared" si="18"/>
        <v>725.55253906250005</v>
      </c>
      <c r="F40" s="44">
        <f t="shared" si="18"/>
        <v>0</v>
      </c>
      <c r="G40" s="44">
        <f t="shared" si="18"/>
        <v>1451.1050781250001</v>
      </c>
      <c r="H40" s="44">
        <f t="shared" si="18"/>
        <v>1088.32880859375</v>
      </c>
      <c r="I40" s="44">
        <f t="shared" si="18"/>
        <v>0</v>
      </c>
      <c r="J40" s="44">
        <f t="shared" si="5"/>
        <v>207.59689331054687</v>
      </c>
      <c r="K40" s="44">
        <f t="shared" si="6"/>
        <v>41.519378662109375</v>
      </c>
      <c r="L40" s="44">
        <f t="shared" si="7"/>
        <v>166.0775146484375</v>
      </c>
      <c r="M40" s="44">
        <f t="shared" si="8"/>
        <v>2.3666045837402345</v>
      </c>
      <c r="N40" s="44">
        <f t="shared" si="9"/>
        <v>9.4664183349609381</v>
      </c>
      <c r="O40" s="44">
        <f>K40*1.16-M40+T40</f>
        <v>723.1859344787598</v>
      </c>
      <c r="P40" s="44">
        <f>L40/0.92-N40+U40</f>
        <v>2529.9674683837889</v>
      </c>
      <c r="Q40" s="34">
        <v>31</v>
      </c>
      <c r="R40" s="34">
        <v>118</v>
      </c>
      <c r="S40" s="40"/>
      <c r="T40" s="41">
        <v>677.39005981445314</v>
      </c>
      <c r="U40" s="40">
        <v>2358.9148490574048</v>
      </c>
      <c r="V40" s="41"/>
      <c r="W40" s="34">
        <f t="shared" si="11"/>
        <v>362.77626953125002</v>
      </c>
      <c r="X40" s="44">
        <f t="shared" si="12"/>
        <v>0</v>
      </c>
      <c r="Y40" s="70">
        <v>2382.67</v>
      </c>
      <c r="Z40" s="70">
        <v>0</v>
      </c>
      <c r="AA40" s="71"/>
      <c r="AG40" s="47">
        <v>26924.61</v>
      </c>
      <c r="AH40" s="47">
        <f t="shared" si="19"/>
        <v>27000</v>
      </c>
      <c r="AI40" s="48">
        <v>3627.7626953125</v>
      </c>
      <c r="AJ40" s="48">
        <v>207.59689331054687</v>
      </c>
      <c r="AK40" s="48">
        <v>10</v>
      </c>
      <c r="AL40" s="48">
        <v>20</v>
      </c>
      <c r="AM40" s="48">
        <v>0</v>
      </c>
      <c r="AN40" s="48">
        <v>40</v>
      </c>
      <c r="AO40" s="48">
        <v>30</v>
      </c>
      <c r="AP40" s="48">
        <v>0</v>
      </c>
      <c r="AQ40" s="49">
        <f t="shared" si="14"/>
        <v>0</v>
      </c>
      <c r="AR40" s="49">
        <f t="shared" si="15"/>
        <v>0</v>
      </c>
    </row>
    <row r="41" spans="1:44" s="48" customFormat="1" ht="20.100000000000001" customHeight="1">
      <c r="A41" s="33" t="str">
        <f t="shared" si="2"/>
        <v>K27+000.000～K28+000.000</v>
      </c>
      <c r="B41" s="44">
        <f t="shared" si="3"/>
        <v>1000</v>
      </c>
      <c r="C41" s="44">
        <f t="shared" si="4"/>
        <v>47112.44921875</v>
      </c>
      <c r="D41" s="44">
        <f t="shared" si="18"/>
        <v>4711.2449218749998</v>
      </c>
      <c r="E41" s="44">
        <f t="shared" si="18"/>
        <v>9422.4898437499996</v>
      </c>
      <c r="F41" s="44">
        <f t="shared" si="18"/>
        <v>0</v>
      </c>
      <c r="G41" s="44">
        <f t="shared" si="18"/>
        <v>18844.979687499999</v>
      </c>
      <c r="H41" s="44">
        <f t="shared" si="18"/>
        <v>14133.734765625</v>
      </c>
      <c r="I41" s="44">
        <f t="shared" si="18"/>
        <v>0</v>
      </c>
      <c r="J41" s="44">
        <f t="shared" si="5"/>
        <v>106152.546875</v>
      </c>
      <c r="K41" s="44">
        <f t="shared" si="6"/>
        <v>21230.509375000001</v>
      </c>
      <c r="L41" s="44">
        <f t="shared" si="7"/>
        <v>84922.037500000006</v>
      </c>
      <c r="M41" s="44">
        <f t="shared" si="8"/>
        <v>1210.1390343750002</v>
      </c>
      <c r="N41" s="44">
        <f t="shared" si="9"/>
        <v>4840.5561375000007</v>
      </c>
      <c r="O41" s="44">
        <f>E41+F41-M41</f>
        <v>8212.3508093749988</v>
      </c>
      <c r="P41" s="44">
        <f>G41+H41+I41-N41</f>
        <v>28138.158315625002</v>
      </c>
      <c r="Q41" s="34">
        <v>2931</v>
      </c>
      <c r="R41" s="34">
        <v>20850</v>
      </c>
      <c r="S41" s="40"/>
      <c r="T41" s="41"/>
      <c r="U41" s="40"/>
      <c r="V41" s="41"/>
      <c r="W41" s="34">
        <f t="shared" si="11"/>
        <v>4711.2449218749998</v>
      </c>
      <c r="X41" s="44">
        <f t="shared" si="12"/>
        <v>0</v>
      </c>
      <c r="Y41" s="70">
        <v>31800.9</v>
      </c>
      <c r="Z41" s="70">
        <v>0</v>
      </c>
      <c r="AA41" s="71"/>
      <c r="AG41" s="47">
        <v>27000</v>
      </c>
      <c r="AH41" s="47">
        <f t="shared" si="19"/>
        <v>28000</v>
      </c>
      <c r="AI41" s="48">
        <v>47112.44921875</v>
      </c>
      <c r="AJ41" s="48">
        <v>106152.546875</v>
      </c>
      <c r="AK41" s="48">
        <v>10</v>
      </c>
      <c r="AL41" s="48">
        <v>20</v>
      </c>
      <c r="AM41" s="48">
        <v>0</v>
      </c>
      <c r="AN41" s="48">
        <v>40</v>
      </c>
      <c r="AO41" s="48">
        <v>30</v>
      </c>
      <c r="AP41" s="48">
        <v>0</v>
      </c>
      <c r="AQ41" s="49">
        <f t="shared" si="14"/>
        <v>0</v>
      </c>
      <c r="AR41" s="49">
        <f t="shared" si="15"/>
        <v>0</v>
      </c>
    </row>
    <row r="42" spans="1:44" s="48" customFormat="1" ht="20.100000000000001" customHeight="1">
      <c r="A42" s="33" t="str">
        <f t="shared" si="2"/>
        <v>K28+000.000～K29+000.000</v>
      </c>
      <c r="B42" s="44">
        <f t="shared" si="3"/>
        <v>1000</v>
      </c>
      <c r="C42" s="44">
        <f t="shared" si="4"/>
        <v>94508.1484375</v>
      </c>
      <c r="D42" s="44">
        <f t="shared" si="18"/>
        <v>9450.8148437500004</v>
      </c>
      <c r="E42" s="44">
        <f t="shared" si="18"/>
        <v>18901.629687500001</v>
      </c>
      <c r="F42" s="44">
        <f t="shared" si="18"/>
        <v>0</v>
      </c>
      <c r="G42" s="44">
        <f t="shared" si="18"/>
        <v>37803.259375000001</v>
      </c>
      <c r="H42" s="44">
        <f t="shared" si="18"/>
        <v>28352.444531249999</v>
      </c>
      <c r="I42" s="44">
        <f t="shared" si="18"/>
        <v>0</v>
      </c>
      <c r="J42" s="44">
        <f t="shared" si="5"/>
        <v>48878.99609375</v>
      </c>
      <c r="K42" s="44">
        <f t="shared" si="6"/>
        <v>9775.7992187500004</v>
      </c>
      <c r="L42" s="44">
        <f t="shared" si="7"/>
        <v>39103.196875000001</v>
      </c>
      <c r="M42" s="44">
        <f t="shared" si="8"/>
        <v>557.22055546875015</v>
      </c>
      <c r="N42" s="44">
        <f t="shared" si="9"/>
        <v>2228.8822218750006</v>
      </c>
      <c r="O42" s="44">
        <f>K42*1.16-M42+T42</f>
        <v>18344.409132031251</v>
      </c>
      <c r="P42" s="44">
        <f>L42/0.92-N42+U42</f>
        <v>63926.821684374998</v>
      </c>
      <c r="Q42" s="34">
        <v>8401</v>
      </c>
      <c r="R42" s="34">
        <v>50949</v>
      </c>
      <c r="S42" s="40"/>
      <c r="T42" s="41">
        <v>7561.7025937500002</v>
      </c>
      <c r="U42" s="40">
        <v>23652.229042119565</v>
      </c>
      <c r="V42" s="41"/>
      <c r="W42" s="34">
        <f t="shared" si="11"/>
        <v>9450.8148437500004</v>
      </c>
      <c r="X42" s="44">
        <f t="shared" si="12"/>
        <v>0</v>
      </c>
      <c r="Y42" s="70">
        <v>54342.18</v>
      </c>
      <c r="Z42" s="70">
        <v>0</v>
      </c>
      <c r="AA42" s="71"/>
      <c r="AG42" s="47">
        <v>28000</v>
      </c>
      <c r="AH42" s="47">
        <f t="shared" si="19"/>
        <v>29000</v>
      </c>
      <c r="AI42" s="48">
        <v>94508.1484375</v>
      </c>
      <c r="AJ42" s="48">
        <v>48878.99609375</v>
      </c>
      <c r="AK42" s="48">
        <v>10</v>
      </c>
      <c r="AL42" s="48">
        <v>20</v>
      </c>
      <c r="AM42" s="48">
        <v>0</v>
      </c>
      <c r="AN42" s="48">
        <v>40</v>
      </c>
      <c r="AO42" s="48">
        <v>30</v>
      </c>
      <c r="AP42" s="48">
        <v>0</v>
      </c>
      <c r="AQ42" s="49">
        <f t="shared" si="14"/>
        <v>0</v>
      </c>
      <c r="AR42" s="49">
        <f t="shared" si="15"/>
        <v>0</v>
      </c>
    </row>
    <row r="43" spans="1:44" s="48" customFormat="1" ht="20.100000000000001" customHeight="1">
      <c r="A43" s="33" t="str">
        <f t="shared" si="2"/>
        <v>K29+000.000～K29+293.895</v>
      </c>
      <c r="B43" s="44">
        <f t="shared" si="3"/>
        <v>293.89500000000044</v>
      </c>
      <c r="C43" s="44">
        <f t="shared" si="4"/>
        <v>30005.115234375</v>
      </c>
      <c r="D43" s="44">
        <f t="shared" si="18"/>
        <v>3000.5115234374998</v>
      </c>
      <c r="E43" s="44">
        <f t="shared" si="18"/>
        <v>6001.0230468749996</v>
      </c>
      <c r="F43" s="44">
        <f t="shared" si="18"/>
        <v>0</v>
      </c>
      <c r="G43" s="44">
        <f t="shared" si="18"/>
        <v>12002.046093749999</v>
      </c>
      <c r="H43" s="44">
        <f t="shared" si="18"/>
        <v>9001.5345703125004</v>
      </c>
      <c r="I43" s="44">
        <f t="shared" si="18"/>
        <v>0</v>
      </c>
      <c r="J43" s="44">
        <f t="shared" si="5"/>
        <v>6394.3388671875</v>
      </c>
      <c r="K43" s="44">
        <f t="shared" si="6"/>
        <v>1278.8677734375001</v>
      </c>
      <c r="L43" s="44">
        <f t="shared" si="7"/>
        <v>5115.4710937500004</v>
      </c>
      <c r="M43" s="44">
        <f t="shared" si="8"/>
        <v>72.895463085937507</v>
      </c>
      <c r="N43" s="44">
        <f t="shared" si="9"/>
        <v>291.58185234375003</v>
      </c>
      <c r="O43" s="44">
        <f>K43*1.16-M43+T43</f>
        <v>5928.1275837890626</v>
      </c>
      <c r="P43" s="44">
        <f>L43/0.92-N43+U43</f>
        <v>20711.998811718753</v>
      </c>
      <c r="Q43" s="34">
        <v>1215</v>
      </c>
      <c r="R43" s="34">
        <v>3955</v>
      </c>
      <c r="S43" s="40"/>
      <c r="T43" s="41">
        <v>4517.5364296874995</v>
      </c>
      <c r="U43" s="40">
        <v>15443.285996942937</v>
      </c>
      <c r="V43" s="41"/>
      <c r="W43" s="34">
        <f t="shared" si="11"/>
        <v>3000.5115234374998</v>
      </c>
      <c r="X43" s="44">
        <f t="shared" si="12"/>
        <v>0</v>
      </c>
      <c r="Y43" s="70">
        <v>20087.04</v>
      </c>
      <c r="Z43" s="70">
        <v>0</v>
      </c>
      <c r="AA43" s="71"/>
      <c r="AG43" s="47">
        <v>29000</v>
      </c>
      <c r="AH43" s="47">
        <f t="shared" si="19"/>
        <v>29293.895</v>
      </c>
      <c r="AI43" s="48">
        <v>30005.115234375</v>
      </c>
      <c r="AJ43" s="48">
        <v>6394.3388671875</v>
      </c>
      <c r="AK43" s="48">
        <v>10</v>
      </c>
      <c r="AL43" s="48">
        <v>20</v>
      </c>
      <c r="AM43" s="48">
        <v>0</v>
      </c>
      <c r="AN43" s="48">
        <v>40</v>
      </c>
      <c r="AO43" s="48">
        <v>30</v>
      </c>
      <c r="AP43" s="48">
        <v>0</v>
      </c>
      <c r="AQ43" s="49">
        <f t="shared" si="14"/>
        <v>0</v>
      </c>
      <c r="AR43" s="49">
        <f t="shared" si="15"/>
        <v>0</v>
      </c>
    </row>
    <row r="44" spans="1:44" s="48" customFormat="1" ht="20.100000000000001" customHeight="1">
      <c r="A44" s="33" t="str">
        <f t="shared" si="2"/>
        <v>K29+293.895～K30+000.000</v>
      </c>
      <c r="B44" s="44">
        <f t="shared" si="3"/>
        <v>706.10499999999956</v>
      </c>
      <c r="C44" s="44">
        <f t="shared" si="4"/>
        <v>71638.140625</v>
      </c>
      <c r="D44" s="44">
        <f t="shared" si="18"/>
        <v>7163.8140624999996</v>
      </c>
      <c r="E44" s="44">
        <f t="shared" si="18"/>
        <v>14327.628124999999</v>
      </c>
      <c r="F44" s="44">
        <f t="shared" si="18"/>
        <v>0</v>
      </c>
      <c r="G44" s="44">
        <f t="shared" si="18"/>
        <v>28655.256249999999</v>
      </c>
      <c r="H44" s="44">
        <f t="shared" si="18"/>
        <v>21491.442187500001</v>
      </c>
      <c r="I44" s="44">
        <f t="shared" si="18"/>
        <v>0</v>
      </c>
      <c r="J44" s="44">
        <f t="shared" si="5"/>
        <v>5520.6689453125</v>
      </c>
      <c r="K44" s="44">
        <f t="shared" si="6"/>
        <v>1104.1337890625</v>
      </c>
      <c r="L44" s="44">
        <f t="shared" si="7"/>
        <v>4416.53515625</v>
      </c>
      <c r="M44" s="44">
        <f t="shared" si="8"/>
        <v>62.935625976562505</v>
      </c>
      <c r="N44" s="44">
        <f t="shared" si="9"/>
        <v>251.74250390625002</v>
      </c>
      <c r="O44" s="44">
        <f>K44*1.16-M44+T44</f>
        <v>3666.1315173339872</v>
      </c>
      <c r="P44" s="44">
        <f>L44/0.92-N44+U44</f>
        <v>22422.257346424936</v>
      </c>
      <c r="Q44" s="34">
        <v>1019</v>
      </c>
      <c r="R44" s="34">
        <v>7892</v>
      </c>
      <c r="S44" s="40"/>
      <c r="T44" s="41">
        <v>2448.2719479980501</v>
      </c>
      <c r="U44" s="40">
        <v>17873.418158755099</v>
      </c>
      <c r="V44" s="41"/>
      <c r="W44" s="34">
        <f t="shared" si="11"/>
        <v>17762.375044189452</v>
      </c>
      <c r="X44" s="44">
        <f t="shared" si="12"/>
        <v>27472.698587168816</v>
      </c>
      <c r="Y44" s="70">
        <v>144263.38</v>
      </c>
      <c r="Z44" s="70">
        <v>223129.203125</v>
      </c>
      <c r="AA44" s="71"/>
      <c r="AG44" s="47">
        <v>29293.895</v>
      </c>
      <c r="AH44" s="47">
        <f t="shared" si="19"/>
        <v>30000</v>
      </c>
      <c r="AI44" s="48">
        <v>71638.140625</v>
      </c>
      <c r="AJ44" s="48">
        <v>5520.6689453125</v>
      </c>
      <c r="AK44" s="48">
        <v>10</v>
      </c>
      <c r="AL44" s="48">
        <v>20</v>
      </c>
      <c r="AM44" s="48">
        <v>0</v>
      </c>
      <c r="AN44" s="48">
        <v>40</v>
      </c>
      <c r="AO44" s="48">
        <v>30</v>
      </c>
      <c r="AP44" s="48">
        <v>0</v>
      </c>
      <c r="AQ44" s="49">
        <f t="shared" si="14"/>
        <v>10598.56098168945</v>
      </c>
      <c r="AR44" s="49">
        <f t="shared" si="15"/>
        <v>27472.698587168816</v>
      </c>
    </row>
    <row r="45" spans="1:44" s="48" customFormat="1" ht="20.100000000000001" customHeight="1">
      <c r="A45" s="33" t="str">
        <f t="shared" si="2"/>
        <v>K30+000.000～K31+000.000</v>
      </c>
      <c r="B45" s="44">
        <f t="shared" si="3"/>
        <v>1000</v>
      </c>
      <c r="C45" s="44">
        <f t="shared" si="4"/>
        <v>98299.4296875</v>
      </c>
      <c r="D45" s="44">
        <f t="shared" si="18"/>
        <v>9829.9429687499996</v>
      </c>
      <c r="E45" s="44">
        <f t="shared" si="18"/>
        <v>19659.885937499999</v>
      </c>
      <c r="F45" s="44">
        <f t="shared" si="18"/>
        <v>0</v>
      </c>
      <c r="G45" s="44">
        <f t="shared" si="18"/>
        <v>39319.771874999999</v>
      </c>
      <c r="H45" s="44">
        <f t="shared" si="18"/>
        <v>29489.828906250001</v>
      </c>
      <c r="I45" s="44">
        <f t="shared" si="18"/>
        <v>0</v>
      </c>
      <c r="J45" s="44">
        <f t="shared" si="5"/>
        <v>7021.83447265625</v>
      </c>
      <c r="K45" s="44">
        <f t="shared" si="6"/>
        <v>1404.3668945312502</v>
      </c>
      <c r="L45" s="44">
        <f t="shared" si="7"/>
        <v>5617.4675781249998</v>
      </c>
      <c r="M45" s="44">
        <f t="shared" si="8"/>
        <v>80.048912988281259</v>
      </c>
      <c r="N45" s="44">
        <f t="shared" si="9"/>
        <v>320.19565195312504</v>
      </c>
      <c r="O45" s="44">
        <f t="shared" si="1"/>
        <v>1549.0166846679688</v>
      </c>
      <c r="P45" s="44">
        <f>L45/0.92-N45-U46</f>
        <v>6981.7798575577435</v>
      </c>
      <c r="Q45" s="34">
        <v>517</v>
      </c>
      <c r="R45" s="34">
        <v>5327</v>
      </c>
      <c r="S45" s="40"/>
      <c r="T45" s="41"/>
      <c r="U45" s="40"/>
      <c r="V45" s="41"/>
      <c r="W45" s="34">
        <f t="shared" si="11"/>
        <v>27860.763308593749</v>
      </c>
      <c r="X45" s="44">
        <f t="shared" si="12"/>
        <v>61507.625271739133</v>
      </c>
      <c r="Y45" s="70">
        <v>243272.4</v>
      </c>
      <c r="Z45" s="70">
        <v>537067.375</v>
      </c>
      <c r="AA45" s="71"/>
      <c r="AG45" s="47">
        <v>30000</v>
      </c>
      <c r="AH45" s="47">
        <f t="shared" si="19"/>
        <v>31000</v>
      </c>
      <c r="AI45" s="48">
        <v>98299.4296875</v>
      </c>
      <c r="AJ45" s="48">
        <v>7021.83447265625</v>
      </c>
      <c r="AK45" s="48">
        <v>10</v>
      </c>
      <c r="AL45" s="48">
        <v>20</v>
      </c>
      <c r="AM45" s="48">
        <v>0</v>
      </c>
      <c r="AN45" s="48">
        <v>40</v>
      </c>
      <c r="AO45" s="48">
        <v>30</v>
      </c>
      <c r="AP45" s="48">
        <v>0</v>
      </c>
      <c r="AQ45" s="49">
        <f t="shared" si="14"/>
        <v>18030.820339843751</v>
      </c>
      <c r="AR45" s="49">
        <f t="shared" si="15"/>
        <v>61507.625271739133</v>
      </c>
    </row>
    <row r="46" spans="1:44" s="48" customFormat="1" ht="20.100000000000001" customHeight="1">
      <c r="A46" s="33" t="str">
        <f t="shared" si="2"/>
        <v>K31+000.000～K32+000.000</v>
      </c>
      <c r="B46" s="44">
        <f t="shared" si="3"/>
        <v>1000</v>
      </c>
      <c r="C46" s="44">
        <f t="shared" si="4"/>
        <v>25805.80859375</v>
      </c>
      <c r="D46" s="44">
        <f t="shared" si="18"/>
        <v>2580.5808593749998</v>
      </c>
      <c r="E46" s="44">
        <f t="shared" si="18"/>
        <v>5161.1617187499996</v>
      </c>
      <c r="F46" s="44">
        <f t="shared" si="18"/>
        <v>0</v>
      </c>
      <c r="G46" s="44">
        <f t="shared" si="18"/>
        <v>10322.323437499999</v>
      </c>
      <c r="H46" s="44">
        <f t="shared" si="18"/>
        <v>7741.7425781250004</v>
      </c>
      <c r="I46" s="44">
        <f t="shared" si="18"/>
        <v>0</v>
      </c>
      <c r="J46" s="44">
        <f t="shared" si="5"/>
        <v>22149.11328125</v>
      </c>
      <c r="K46" s="44">
        <f t="shared" si="6"/>
        <v>4429.8226562500004</v>
      </c>
      <c r="L46" s="44">
        <f t="shared" si="7"/>
        <v>17719.290625000001</v>
      </c>
      <c r="M46" s="44">
        <f t="shared" si="8"/>
        <v>252.49989140625004</v>
      </c>
      <c r="N46" s="44">
        <f t="shared" si="9"/>
        <v>1009.9995656250002</v>
      </c>
      <c r="O46" s="44">
        <f t="shared" si="1"/>
        <v>4886.0943898437499</v>
      </c>
      <c r="P46" s="44">
        <f>G46+H46+I46-N46</f>
        <v>17054.066450000002</v>
      </c>
      <c r="Q46" s="34">
        <v>3083</v>
      </c>
      <c r="R46" s="34">
        <v>11392</v>
      </c>
      <c r="S46" s="40"/>
      <c r="T46" s="41"/>
      <c r="U46" s="40">
        <v>-1196.0324898097824</v>
      </c>
      <c r="V46" s="41"/>
      <c r="W46" s="34">
        <f t="shared" si="11"/>
        <v>2603.1482968749997</v>
      </c>
      <c r="X46" s="44">
        <f t="shared" si="12"/>
        <v>0</v>
      </c>
      <c r="Y46" s="70">
        <v>41910.69</v>
      </c>
      <c r="Z46" s="70">
        <v>0</v>
      </c>
      <c r="AA46" s="71"/>
      <c r="AG46" s="47">
        <v>31000</v>
      </c>
      <c r="AH46" s="47">
        <f t="shared" si="19"/>
        <v>32000</v>
      </c>
      <c r="AI46" s="48">
        <v>25805.80859375</v>
      </c>
      <c r="AJ46" s="48">
        <v>22149.11328125</v>
      </c>
      <c r="AK46" s="48">
        <v>10</v>
      </c>
      <c r="AL46" s="48">
        <v>20</v>
      </c>
      <c r="AM46" s="48">
        <v>0</v>
      </c>
      <c r="AN46" s="48">
        <v>40</v>
      </c>
      <c r="AO46" s="48">
        <v>30</v>
      </c>
      <c r="AP46" s="48">
        <v>0</v>
      </c>
      <c r="AQ46" s="49">
        <f t="shared" si="14"/>
        <v>22.567437499999869</v>
      </c>
      <c r="AR46" s="49">
        <f t="shared" si="15"/>
        <v>0</v>
      </c>
    </row>
    <row r="47" spans="1:44" ht="20.100000000000001" customHeight="1">
      <c r="A47" s="33" t="str">
        <f t="shared" si="2"/>
        <v>K32+000.000～K33+000.000</v>
      </c>
      <c r="B47" s="34">
        <f t="shared" si="3"/>
        <v>1000</v>
      </c>
      <c r="C47" s="34">
        <f t="shared" si="4"/>
        <v>51344.92578125</v>
      </c>
      <c r="D47" s="34">
        <f t="shared" si="18"/>
        <v>5134.4925781250004</v>
      </c>
      <c r="E47" s="34">
        <f t="shared" si="18"/>
        <v>10268.985156250001</v>
      </c>
      <c r="F47" s="34">
        <f t="shared" si="18"/>
        <v>0</v>
      </c>
      <c r="G47" s="34">
        <f t="shared" si="18"/>
        <v>20537.970312500001</v>
      </c>
      <c r="H47" s="34">
        <f t="shared" si="18"/>
        <v>15403.477734374999</v>
      </c>
      <c r="I47" s="34">
        <f t="shared" si="18"/>
        <v>0</v>
      </c>
      <c r="J47" s="34">
        <f t="shared" si="5"/>
        <v>7817.1279296875</v>
      </c>
      <c r="K47" s="34">
        <f t="shared" si="6"/>
        <v>1563.4255859375</v>
      </c>
      <c r="L47" s="34">
        <f t="shared" si="7"/>
        <v>6253.7023437500002</v>
      </c>
      <c r="M47" s="34">
        <f t="shared" si="8"/>
        <v>89.115258398437504</v>
      </c>
      <c r="N47" s="34">
        <f t="shared" si="9"/>
        <v>356.46103359375002</v>
      </c>
      <c r="O47" s="34">
        <f t="shared" si="1"/>
        <v>1724.4584212890622</v>
      </c>
      <c r="P47" s="34">
        <f t="shared" si="17"/>
        <v>6441.0415139605975</v>
      </c>
      <c r="Q47" s="34">
        <v>562</v>
      </c>
      <c r="R47" s="34">
        <v>4908</v>
      </c>
      <c r="S47" s="40"/>
      <c r="T47" s="41"/>
      <c r="U47" s="40"/>
      <c r="V47" s="41"/>
      <c r="W47" s="34">
        <f t="shared" si="11"/>
        <v>13589.904054687502</v>
      </c>
      <c r="X47" s="34">
        <f t="shared" si="12"/>
        <v>29143.945499320653</v>
      </c>
      <c r="Y47" s="73">
        <v>205207.55</v>
      </c>
      <c r="Z47" s="73">
        <v>440073.5625</v>
      </c>
      <c r="AA47" s="74"/>
      <c r="AG47" s="42">
        <v>32000</v>
      </c>
      <c r="AH47" s="42">
        <f t="shared" si="19"/>
        <v>33000</v>
      </c>
      <c r="AI47" s="15">
        <v>51344.92578125</v>
      </c>
      <c r="AJ47" s="15">
        <v>7817.1279296875</v>
      </c>
      <c r="AK47" s="15">
        <v>10</v>
      </c>
      <c r="AL47" s="15">
        <v>20</v>
      </c>
      <c r="AM47" s="15">
        <v>0</v>
      </c>
      <c r="AN47" s="15">
        <v>40</v>
      </c>
      <c r="AO47" s="15">
        <v>30</v>
      </c>
      <c r="AP47" s="15">
        <v>0</v>
      </c>
      <c r="AQ47" s="43">
        <f t="shared" si="14"/>
        <v>8455.4114765625018</v>
      </c>
      <c r="AR47" s="43">
        <f t="shared" si="15"/>
        <v>29143.945499320653</v>
      </c>
    </row>
    <row r="48" spans="1:44" ht="20.100000000000001" customHeight="1">
      <c r="A48" s="33" t="str">
        <f t="shared" si="2"/>
        <v>K33+000.000～K34+000.000</v>
      </c>
      <c r="B48" s="34">
        <f t="shared" si="3"/>
        <v>1000</v>
      </c>
      <c r="C48" s="34">
        <f t="shared" si="4"/>
        <v>67486</v>
      </c>
      <c r="D48" s="34">
        <f t="shared" si="18"/>
        <v>6748.6</v>
      </c>
      <c r="E48" s="34">
        <f t="shared" si="18"/>
        <v>13497.2</v>
      </c>
      <c r="F48" s="34">
        <f t="shared" si="18"/>
        <v>0</v>
      </c>
      <c r="G48" s="34">
        <f t="shared" si="18"/>
        <v>26994.400000000001</v>
      </c>
      <c r="H48" s="34">
        <f t="shared" si="18"/>
        <v>20245.8</v>
      </c>
      <c r="I48" s="34">
        <f t="shared" si="18"/>
        <v>0</v>
      </c>
      <c r="J48" s="34">
        <f t="shared" si="5"/>
        <v>29448.447265625</v>
      </c>
      <c r="K48" s="34">
        <f t="shared" si="6"/>
        <v>5889.689453125</v>
      </c>
      <c r="L48" s="34">
        <f t="shared" si="7"/>
        <v>23558.7578125</v>
      </c>
      <c r="M48" s="34">
        <f t="shared" si="8"/>
        <v>335.71229882812503</v>
      </c>
      <c r="N48" s="34">
        <f t="shared" si="9"/>
        <v>1342.8491953125001</v>
      </c>
      <c r="O48" s="34">
        <f t="shared" si="1"/>
        <v>6496.3274667968744</v>
      </c>
      <c r="P48" s="34">
        <f t="shared" si="17"/>
        <v>24264.496253057063</v>
      </c>
      <c r="Q48" s="34">
        <v>4592</v>
      </c>
      <c r="R48" s="34">
        <v>12229</v>
      </c>
      <c r="S48" s="40"/>
      <c r="T48" s="41"/>
      <c r="U48" s="40"/>
      <c r="V48" s="41"/>
      <c r="W48" s="34">
        <f t="shared" si="11"/>
        <v>13413.760234375002</v>
      </c>
      <c r="X48" s="34">
        <f t="shared" si="12"/>
        <v>21632.854551630437</v>
      </c>
      <c r="Y48" s="73">
        <v>189134.01</v>
      </c>
      <c r="Z48" s="73">
        <v>305023.25</v>
      </c>
      <c r="AA48" s="74"/>
      <c r="AE48" s="48"/>
      <c r="AG48" s="42">
        <v>33000</v>
      </c>
      <c r="AH48" s="42">
        <f t="shared" si="19"/>
        <v>34000</v>
      </c>
      <c r="AI48" s="15">
        <v>67486</v>
      </c>
      <c r="AJ48" s="15">
        <v>29448.447265625</v>
      </c>
      <c r="AK48" s="15">
        <v>10</v>
      </c>
      <c r="AL48" s="15">
        <v>20</v>
      </c>
      <c r="AM48" s="15">
        <v>0</v>
      </c>
      <c r="AN48" s="15">
        <v>40</v>
      </c>
      <c r="AO48" s="15">
        <v>30</v>
      </c>
      <c r="AP48" s="15">
        <v>0</v>
      </c>
      <c r="AQ48" s="43">
        <f t="shared" si="14"/>
        <v>6665.1602343750019</v>
      </c>
      <c r="AR48" s="43">
        <f t="shared" si="15"/>
        <v>21632.854551630437</v>
      </c>
    </row>
    <row r="49" spans="1:44" ht="20.100000000000001" customHeight="1">
      <c r="A49" s="33" t="str">
        <f t="shared" si="2"/>
        <v>K34+000.000～K35+000.000</v>
      </c>
      <c r="B49" s="34">
        <f t="shared" si="3"/>
        <v>1000</v>
      </c>
      <c r="C49" s="34">
        <f t="shared" si="4"/>
        <v>49278.2421875</v>
      </c>
      <c r="D49" s="34">
        <f t="shared" si="18"/>
        <v>4927.82421875</v>
      </c>
      <c r="E49" s="34">
        <f t="shared" si="18"/>
        <v>9855.6484375</v>
      </c>
      <c r="F49" s="34">
        <f t="shared" si="18"/>
        <v>0</v>
      </c>
      <c r="G49" s="34">
        <f t="shared" si="18"/>
        <v>19711.296875</v>
      </c>
      <c r="H49" s="34">
        <f t="shared" si="18"/>
        <v>14783.47265625</v>
      </c>
      <c r="I49" s="34">
        <f t="shared" si="18"/>
        <v>0</v>
      </c>
      <c r="J49" s="34">
        <f t="shared" si="5"/>
        <v>9598.6376953125</v>
      </c>
      <c r="K49" s="34">
        <f t="shared" si="6"/>
        <v>1919.7275390625</v>
      </c>
      <c r="L49" s="34">
        <f t="shared" si="7"/>
        <v>7678.91015625</v>
      </c>
      <c r="M49" s="34">
        <f t="shared" si="8"/>
        <v>109.42446972656251</v>
      </c>
      <c r="N49" s="34">
        <f t="shared" si="9"/>
        <v>437.69787890625003</v>
      </c>
      <c r="O49" s="34">
        <f t="shared" si="1"/>
        <v>2117.4594755859371</v>
      </c>
      <c r="P49" s="34">
        <f t="shared" si="17"/>
        <v>7908.9435952785316</v>
      </c>
      <c r="Q49" s="34">
        <v>832</v>
      </c>
      <c r="R49" s="34">
        <v>4927</v>
      </c>
      <c r="S49" s="40"/>
      <c r="T49" s="41"/>
      <c r="U49" s="40"/>
      <c r="V49" s="41"/>
      <c r="W49" s="34">
        <f t="shared" si="11"/>
        <v>12556.5887109375</v>
      </c>
      <c r="X49" s="34">
        <f t="shared" si="12"/>
        <v>26148.12805706522</v>
      </c>
      <c r="Y49" s="73">
        <v>166554.69</v>
      </c>
      <c r="Z49" s="73">
        <v>346837.3125</v>
      </c>
      <c r="AA49" s="74"/>
      <c r="AG49" s="42">
        <v>34000</v>
      </c>
      <c r="AH49" s="42">
        <f t="shared" si="19"/>
        <v>35000</v>
      </c>
      <c r="AI49" s="15">
        <v>49278.2421875</v>
      </c>
      <c r="AJ49" s="15">
        <v>9598.6376953125</v>
      </c>
      <c r="AK49" s="15">
        <v>10</v>
      </c>
      <c r="AL49" s="15">
        <v>20</v>
      </c>
      <c r="AM49" s="15">
        <v>0</v>
      </c>
      <c r="AN49" s="15">
        <v>40</v>
      </c>
      <c r="AO49" s="15">
        <v>30</v>
      </c>
      <c r="AP49" s="15">
        <v>0</v>
      </c>
      <c r="AQ49" s="43">
        <f t="shared" si="14"/>
        <v>7628.7644921875008</v>
      </c>
      <c r="AR49" s="43">
        <f t="shared" si="15"/>
        <v>26148.12805706522</v>
      </c>
    </row>
    <row r="50" spans="1:44" s="48" customFormat="1" ht="20.100000000000001" customHeight="1">
      <c r="A50" s="33" t="str">
        <f t="shared" si="2"/>
        <v>K35+000.000～K36+000.000</v>
      </c>
      <c r="B50" s="44">
        <f t="shared" si="3"/>
        <v>1000</v>
      </c>
      <c r="C50" s="44">
        <f t="shared" si="4"/>
        <v>59302.76953125</v>
      </c>
      <c r="D50" s="44">
        <f t="shared" si="18"/>
        <v>5930.2769531249996</v>
      </c>
      <c r="E50" s="44">
        <f t="shared" si="18"/>
        <v>11860.553906249999</v>
      </c>
      <c r="F50" s="44">
        <f t="shared" si="18"/>
        <v>0</v>
      </c>
      <c r="G50" s="44">
        <f t="shared" si="18"/>
        <v>23721.107812499999</v>
      </c>
      <c r="H50" s="44">
        <f t="shared" si="18"/>
        <v>17790.830859375001</v>
      </c>
      <c r="I50" s="44">
        <f t="shared" si="18"/>
        <v>0</v>
      </c>
      <c r="J50" s="44">
        <f t="shared" si="5"/>
        <v>6954.458984375</v>
      </c>
      <c r="K50" s="44">
        <f t="shared" si="6"/>
        <v>1390.8917968750002</v>
      </c>
      <c r="L50" s="44">
        <f t="shared" si="7"/>
        <v>5563.5671874999998</v>
      </c>
      <c r="M50" s="44">
        <f t="shared" si="8"/>
        <v>79.280832421875004</v>
      </c>
      <c r="N50" s="44">
        <f t="shared" si="9"/>
        <v>317.12332968750002</v>
      </c>
      <c r="O50" s="75">
        <f>K50*1.16-M50+T50</f>
        <v>2716.1536519531251</v>
      </c>
      <c r="P50" s="75">
        <f>L50/0.92-N50</f>
        <v>5730.2323088994563</v>
      </c>
      <c r="Q50" s="34">
        <v>1184</v>
      </c>
      <c r="R50" s="34">
        <v>3483</v>
      </c>
      <c r="S50" s="40"/>
      <c r="T50" s="41">
        <v>1182</v>
      </c>
      <c r="U50" s="41">
        <f>(SUM(U51:U58)+X59)*-1</f>
        <v>-139614.55752590013</v>
      </c>
      <c r="V50" s="41"/>
      <c r="W50" s="34">
        <f t="shared" si="11"/>
        <v>14995.396374999998</v>
      </c>
      <c r="X50" s="44">
        <f t="shared" si="12"/>
        <v>35464.583033288043</v>
      </c>
      <c r="Y50" s="70">
        <v>196364.72</v>
      </c>
      <c r="Z50" s="70">
        <v>464408.71875</v>
      </c>
      <c r="AA50" s="71"/>
      <c r="AG50" s="47">
        <v>35000</v>
      </c>
      <c r="AH50" s="47">
        <f t="shared" si="19"/>
        <v>36000</v>
      </c>
      <c r="AI50" s="48">
        <v>59302.76953125</v>
      </c>
      <c r="AJ50" s="48">
        <v>6954.458984375</v>
      </c>
      <c r="AK50" s="48">
        <v>10</v>
      </c>
      <c r="AL50" s="48">
        <v>20</v>
      </c>
      <c r="AM50" s="48">
        <v>0</v>
      </c>
      <c r="AN50" s="48">
        <v>40</v>
      </c>
      <c r="AO50" s="48">
        <v>30</v>
      </c>
      <c r="AP50" s="48">
        <v>0</v>
      </c>
      <c r="AQ50" s="49">
        <f t="shared" si="14"/>
        <v>9065.1194218749988</v>
      </c>
      <c r="AR50" s="49">
        <f t="shared" si="15"/>
        <v>35464.583033288043</v>
      </c>
    </row>
    <row r="51" spans="1:44" s="48" customFormat="1" ht="20.100000000000001" customHeight="1">
      <c r="A51" s="33" t="str">
        <f t="shared" si="2"/>
        <v>K36+000.000～K37+000.000</v>
      </c>
      <c r="B51" s="44">
        <f t="shared" si="3"/>
        <v>1000</v>
      </c>
      <c r="C51" s="44">
        <f t="shared" si="4"/>
        <v>19341.017578125</v>
      </c>
      <c r="D51" s="44">
        <f t="shared" si="18"/>
        <v>1934.1017578125</v>
      </c>
      <c r="E51" s="44">
        <f t="shared" si="18"/>
        <v>3868.2035156249999</v>
      </c>
      <c r="F51" s="44">
        <f t="shared" si="18"/>
        <v>0</v>
      </c>
      <c r="G51" s="44">
        <f t="shared" si="18"/>
        <v>7736.4070312499998</v>
      </c>
      <c r="H51" s="44">
        <f t="shared" si="18"/>
        <v>5802.3052734374996</v>
      </c>
      <c r="I51" s="44">
        <f t="shared" si="18"/>
        <v>0</v>
      </c>
      <c r="J51" s="44">
        <f t="shared" si="5"/>
        <v>8251.8291015625</v>
      </c>
      <c r="K51" s="44">
        <f t="shared" si="6"/>
        <v>1650.3658203125001</v>
      </c>
      <c r="L51" s="44">
        <f t="shared" si="7"/>
        <v>6601.4632812500004</v>
      </c>
      <c r="M51" s="44">
        <f t="shared" si="8"/>
        <v>94.070851757812505</v>
      </c>
      <c r="N51" s="44">
        <f t="shared" si="9"/>
        <v>376.28340703125002</v>
      </c>
      <c r="O51" s="44">
        <f t="shared" ref="O51:O58" si="20">K51*1.16-M51+T51</f>
        <v>3774.1326638671876</v>
      </c>
      <c r="P51" s="44">
        <f t="shared" ref="P51:P58" si="21">L51/0.92-N51+U51</f>
        <v>13162.428897656249</v>
      </c>
      <c r="Q51" s="34">
        <v>2049</v>
      </c>
      <c r="R51" s="34">
        <v>6528</v>
      </c>
      <c r="S51" s="40"/>
      <c r="T51" s="41">
        <v>1953.7791640625001</v>
      </c>
      <c r="U51" s="40">
        <v>6363.2087381114125</v>
      </c>
      <c r="V51" s="41"/>
      <c r="W51" s="34">
        <f t="shared" si="11"/>
        <v>1934.1017578125</v>
      </c>
      <c r="X51" s="44">
        <f t="shared" si="12"/>
        <v>0</v>
      </c>
      <c r="Y51" s="70">
        <v>23392.959999999999</v>
      </c>
      <c r="Z51" s="70">
        <v>0</v>
      </c>
      <c r="AA51" s="71"/>
      <c r="AG51" s="47">
        <v>36000</v>
      </c>
      <c r="AH51" s="47">
        <f t="shared" si="19"/>
        <v>37000</v>
      </c>
      <c r="AI51" s="48">
        <v>19341.017578125</v>
      </c>
      <c r="AJ51" s="48">
        <v>8251.8291015625</v>
      </c>
      <c r="AK51" s="48">
        <v>10</v>
      </c>
      <c r="AL51" s="48">
        <v>20</v>
      </c>
      <c r="AM51" s="48">
        <v>0</v>
      </c>
      <c r="AN51" s="48">
        <v>40</v>
      </c>
      <c r="AO51" s="48">
        <v>30</v>
      </c>
      <c r="AP51" s="48">
        <v>0</v>
      </c>
      <c r="AQ51" s="49">
        <f t="shared" si="14"/>
        <v>0</v>
      </c>
      <c r="AR51" s="49">
        <f t="shared" si="15"/>
        <v>0</v>
      </c>
    </row>
    <row r="52" spans="1:44" s="48" customFormat="1" ht="20.100000000000001" customHeight="1">
      <c r="A52" s="33" t="str">
        <f t="shared" si="2"/>
        <v>K37+000.000～K38+000.000</v>
      </c>
      <c r="B52" s="44">
        <f t="shared" si="3"/>
        <v>1000</v>
      </c>
      <c r="C52" s="44">
        <f t="shared" si="4"/>
        <v>38486.078125</v>
      </c>
      <c r="D52" s="44">
        <f t="shared" si="18"/>
        <v>3848.6078124999999</v>
      </c>
      <c r="E52" s="44">
        <f t="shared" si="18"/>
        <v>7697.2156249999998</v>
      </c>
      <c r="F52" s="44">
        <f t="shared" si="18"/>
        <v>0</v>
      </c>
      <c r="G52" s="44">
        <f t="shared" si="18"/>
        <v>15394.43125</v>
      </c>
      <c r="H52" s="44">
        <f t="shared" si="18"/>
        <v>11545.823437499999</v>
      </c>
      <c r="I52" s="44">
        <f t="shared" si="18"/>
        <v>0</v>
      </c>
      <c r="J52" s="44">
        <f t="shared" si="5"/>
        <v>7829.37646484375</v>
      </c>
      <c r="K52" s="44">
        <f t="shared" si="6"/>
        <v>1565.87529296875</v>
      </c>
      <c r="L52" s="44">
        <f t="shared" si="7"/>
        <v>6263.5011718750002</v>
      </c>
      <c r="M52" s="44">
        <f t="shared" si="8"/>
        <v>89.254891699218774</v>
      </c>
      <c r="N52" s="44">
        <f t="shared" si="9"/>
        <v>357.0195667968751</v>
      </c>
      <c r="O52" s="44">
        <f t="shared" si="20"/>
        <v>7607.9607333007807</v>
      </c>
      <c r="P52" s="44">
        <f t="shared" si="21"/>
        <v>26583.235120703124</v>
      </c>
      <c r="Q52" s="34">
        <v>2503</v>
      </c>
      <c r="R52" s="34">
        <v>16880</v>
      </c>
      <c r="S52" s="40"/>
      <c r="T52" s="41">
        <v>5880.8002851562496</v>
      </c>
      <c r="U52" s="40">
        <v>20132.101239809781</v>
      </c>
      <c r="V52" s="41"/>
      <c r="W52" s="34">
        <f t="shared" si="11"/>
        <v>3848.6078124999999</v>
      </c>
      <c r="X52" s="44">
        <f t="shared" si="12"/>
        <v>0</v>
      </c>
      <c r="Y52" s="70">
        <v>42700.3</v>
      </c>
      <c r="Z52" s="70">
        <v>0</v>
      </c>
      <c r="AA52" s="71"/>
      <c r="AG52" s="47">
        <v>37000</v>
      </c>
      <c r="AH52" s="47">
        <f t="shared" si="19"/>
        <v>38000</v>
      </c>
      <c r="AI52" s="48">
        <v>38486.078125</v>
      </c>
      <c r="AJ52" s="48">
        <v>7829.37646484375</v>
      </c>
      <c r="AK52" s="48">
        <v>10</v>
      </c>
      <c r="AL52" s="48">
        <v>20</v>
      </c>
      <c r="AM52" s="48">
        <v>0</v>
      </c>
      <c r="AN52" s="48">
        <v>40</v>
      </c>
      <c r="AO52" s="48">
        <v>30</v>
      </c>
      <c r="AP52" s="48">
        <v>0</v>
      </c>
      <c r="AQ52" s="49">
        <f t="shared" si="14"/>
        <v>0</v>
      </c>
      <c r="AR52" s="49">
        <f t="shared" si="15"/>
        <v>0</v>
      </c>
    </row>
    <row r="53" spans="1:44" s="48" customFormat="1" ht="20.100000000000001" customHeight="1">
      <c r="A53" s="33" t="str">
        <f t="shared" si="2"/>
        <v>K38+000.000～K39+000.000</v>
      </c>
      <c r="B53" s="44">
        <f t="shared" si="3"/>
        <v>1000</v>
      </c>
      <c r="C53" s="44">
        <f t="shared" si="4"/>
        <v>60704.45703125</v>
      </c>
      <c r="D53" s="44">
        <f t="shared" si="18"/>
        <v>6070.4457031250004</v>
      </c>
      <c r="E53" s="44">
        <f t="shared" si="18"/>
        <v>12140.891406250001</v>
      </c>
      <c r="F53" s="44">
        <f t="shared" si="18"/>
        <v>0</v>
      </c>
      <c r="G53" s="44">
        <f t="shared" si="18"/>
        <v>24281.782812500001</v>
      </c>
      <c r="H53" s="44">
        <f t="shared" si="18"/>
        <v>18211.337109374999</v>
      </c>
      <c r="I53" s="44">
        <f t="shared" si="18"/>
        <v>0</v>
      </c>
      <c r="J53" s="44">
        <f t="shared" si="5"/>
        <v>4095.18994140625</v>
      </c>
      <c r="K53" s="44">
        <f t="shared" si="6"/>
        <v>819.03798828125002</v>
      </c>
      <c r="L53" s="44">
        <f t="shared" si="7"/>
        <v>3276.1519531250001</v>
      </c>
      <c r="M53" s="44">
        <f t="shared" si="8"/>
        <v>46.685165332031261</v>
      </c>
      <c r="N53" s="44">
        <f t="shared" si="9"/>
        <v>186.74066132812504</v>
      </c>
      <c r="O53" s="44">
        <f t="shared" si="20"/>
        <v>12094.206240917969</v>
      </c>
      <c r="P53" s="44">
        <f t="shared" si="21"/>
        <v>42306.37926054687</v>
      </c>
      <c r="Q53" s="34">
        <v>9119</v>
      </c>
      <c r="R53" s="34">
        <v>25341</v>
      </c>
      <c r="S53" s="40"/>
      <c r="T53" s="41">
        <v>11190.80733984375</v>
      </c>
      <c r="U53" s="40">
        <v>38932.085190217389</v>
      </c>
      <c r="V53" s="41"/>
      <c r="W53" s="34">
        <f t="shared" si="11"/>
        <v>6070.4457031250004</v>
      </c>
      <c r="X53" s="44">
        <f t="shared" si="12"/>
        <v>0</v>
      </c>
      <c r="Y53" s="70">
        <v>61281.15</v>
      </c>
      <c r="Z53" s="70">
        <v>0</v>
      </c>
      <c r="AA53" s="71"/>
      <c r="AG53" s="47">
        <v>38000</v>
      </c>
      <c r="AH53" s="47">
        <f t="shared" si="19"/>
        <v>39000</v>
      </c>
      <c r="AI53" s="48">
        <v>60704.45703125</v>
      </c>
      <c r="AJ53" s="48">
        <v>4095.18994140625</v>
      </c>
      <c r="AK53" s="48">
        <v>10</v>
      </c>
      <c r="AL53" s="48">
        <v>20</v>
      </c>
      <c r="AM53" s="48">
        <v>0</v>
      </c>
      <c r="AN53" s="48">
        <v>40</v>
      </c>
      <c r="AO53" s="48">
        <v>30</v>
      </c>
      <c r="AP53" s="48">
        <v>0</v>
      </c>
      <c r="AQ53" s="49">
        <f t="shared" si="14"/>
        <v>0</v>
      </c>
      <c r="AR53" s="49">
        <f t="shared" si="15"/>
        <v>0</v>
      </c>
    </row>
    <row r="54" spans="1:44" s="48" customFormat="1" ht="20.100000000000001" customHeight="1">
      <c r="A54" s="33" t="str">
        <f t="shared" si="2"/>
        <v>K39+000.000～K40+000.000</v>
      </c>
      <c r="B54" s="44">
        <f t="shared" si="3"/>
        <v>1000</v>
      </c>
      <c r="C54" s="44">
        <f t="shared" si="4"/>
        <v>22415.046875</v>
      </c>
      <c r="D54" s="44">
        <f t="shared" si="18"/>
        <v>2241.5046874999998</v>
      </c>
      <c r="E54" s="44">
        <f t="shared" si="18"/>
        <v>4483.0093749999996</v>
      </c>
      <c r="F54" s="44">
        <f t="shared" si="18"/>
        <v>0</v>
      </c>
      <c r="G54" s="44">
        <f t="shared" si="18"/>
        <v>8966.0187499999993</v>
      </c>
      <c r="H54" s="44">
        <f t="shared" si="18"/>
        <v>6724.5140625000004</v>
      </c>
      <c r="I54" s="44">
        <f t="shared" si="18"/>
        <v>0</v>
      </c>
      <c r="J54" s="44">
        <f t="shared" si="5"/>
        <v>7658.01123046875</v>
      </c>
      <c r="K54" s="44">
        <f t="shared" si="6"/>
        <v>1531.6022460937502</v>
      </c>
      <c r="L54" s="44">
        <f t="shared" si="7"/>
        <v>6126.4089843749998</v>
      </c>
      <c r="M54" s="44">
        <f t="shared" si="8"/>
        <v>87.301328027343757</v>
      </c>
      <c r="N54" s="44">
        <f t="shared" si="9"/>
        <v>349.20531210937503</v>
      </c>
      <c r="O54" s="44">
        <f t="shared" si="20"/>
        <v>4395.7080469726561</v>
      </c>
      <c r="P54" s="44">
        <f t="shared" si="21"/>
        <v>15341.327500390624</v>
      </c>
      <c r="Q54" s="34">
        <v>3397</v>
      </c>
      <c r="R54" s="34">
        <v>9220</v>
      </c>
      <c r="S54" s="40"/>
      <c r="T54" s="41">
        <v>2706.3507695312501</v>
      </c>
      <c r="U54" s="40">
        <v>9031.3926120923898</v>
      </c>
      <c r="V54" s="41"/>
      <c r="W54" s="34">
        <f t="shared" si="11"/>
        <v>2241.5046874999998</v>
      </c>
      <c r="X54" s="44">
        <f t="shared" si="12"/>
        <v>0</v>
      </c>
      <c r="Y54" s="70">
        <v>20386.48</v>
      </c>
      <c r="Z54" s="70">
        <v>0</v>
      </c>
      <c r="AA54" s="71"/>
      <c r="AG54" s="47">
        <v>39000</v>
      </c>
      <c r="AH54" s="47">
        <f t="shared" si="19"/>
        <v>40000</v>
      </c>
      <c r="AI54" s="48">
        <v>22415.046875</v>
      </c>
      <c r="AJ54" s="48">
        <v>7658.01123046875</v>
      </c>
      <c r="AK54" s="48">
        <v>10</v>
      </c>
      <c r="AL54" s="48">
        <v>20</v>
      </c>
      <c r="AM54" s="48">
        <v>0</v>
      </c>
      <c r="AN54" s="48">
        <v>40</v>
      </c>
      <c r="AO54" s="48">
        <v>30</v>
      </c>
      <c r="AP54" s="48">
        <v>0</v>
      </c>
      <c r="AQ54" s="49">
        <f t="shared" si="14"/>
        <v>0</v>
      </c>
      <c r="AR54" s="49">
        <f t="shared" si="15"/>
        <v>0</v>
      </c>
    </row>
    <row r="55" spans="1:44" s="48" customFormat="1" ht="20.100000000000001" customHeight="1">
      <c r="A55" s="33" t="str">
        <f t="shared" si="2"/>
        <v>K40+000.000～K40+500.000</v>
      </c>
      <c r="B55" s="44">
        <f t="shared" si="3"/>
        <v>500</v>
      </c>
      <c r="C55" s="44">
        <f t="shared" si="4"/>
        <v>7805.08349609375</v>
      </c>
      <c r="D55" s="44">
        <f t="shared" si="18"/>
        <v>780.50834960937505</v>
      </c>
      <c r="E55" s="44">
        <f t="shared" si="18"/>
        <v>1561.0166992187501</v>
      </c>
      <c r="F55" s="44">
        <f t="shared" si="18"/>
        <v>0</v>
      </c>
      <c r="G55" s="44">
        <f t="shared" si="18"/>
        <v>3122.0333984375002</v>
      </c>
      <c r="H55" s="44">
        <f t="shared" si="18"/>
        <v>2341.5250488281249</v>
      </c>
      <c r="I55" s="44">
        <f t="shared" si="18"/>
        <v>0</v>
      </c>
      <c r="J55" s="44">
        <f t="shared" si="5"/>
        <v>5233.2900390625</v>
      </c>
      <c r="K55" s="44">
        <f t="shared" si="6"/>
        <v>1046.6580078125</v>
      </c>
      <c r="L55" s="44">
        <f t="shared" si="7"/>
        <v>4186.6320312500002</v>
      </c>
      <c r="M55" s="44">
        <f t="shared" si="8"/>
        <v>59.659506445312502</v>
      </c>
      <c r="N55" s="44">
        <f t="shared" si="9"/>
        <v>238.63802578125001</v>
      </c>
      <c r="O55" s="44">
        <f t="shared" si="20"/>
        <v>1501.3571927734376</v>
      </c>
      <c r="P55" s="44">
        <f t="shared" si="21"/>
        <v>5224.9204214843749</v>
      </c>
      <c r="Q55" s="34">
        <v>262</v>
      </c>
      <c r="R55" s="34">
        <v>1316</v>
      </c>
      <c r="S55" s="40"/>
      <c r="T55" s="41">
        <v>346.89341015625018</v>
      </c>
      <c r="U55" s="40">
        <v>912.8714567764946</v>
      </c>
      <c r="V55" s="41"/>
      <c r="W55" s="34">
        <f t="shared" si="11"/>
        <v>780.50834960937505</v>
      </c>
      <c r="X55" s="44">
        <f t="shared" si="12"/>
        <v>0</v>
      </c>
      <c r="Y55" s="70">
        <v>6513.34</v>
      </c>
      <c r="Z55" s="70">
        <v>0</v>
      </c>
      <c r="AA55" s="71"/>
      <c r="AG55" s="47">
        <v>40000</v>
      </c>
      <c r="AH55" s="47">
        <f t="shared" si="19"/>
        <v>40500</v>
      </c>
      <c r="AI55" s="48">
        <v>7805.08349609375</v>
      </c>
      <c r="AJ55" s="48">
        <v>5233.2900390625</v>
      </c>
      <c r="AK55" s="48">
        <v>10</v>
      </c>
      <c r="AL55" s="48">
        <v>20</v>
      </c>
      <c r="AM55" s="48">
        <v>0</v>
      </c>
      <c r="AN55" s="48">
        <v>40</v>
      </c>
      <c r="AO55" s="48">
        <v>30</v>
      </c>
      <c r="AP55" s="48">
        <v>0</v>
      </c>
      <c r="AQ55" s="49">
        <f t="shared" si="14"/>
        <v>0</v>
      </c>
      <c r="AR55" s="49">
        <f t="shared" si="15"/>
        <v>0</v>
      </c>
    </row>
    <row r="56" spans="1:44" s="48" customFormat="1" ht="20.100000000000001" customHeight="1">
      <c r="A56" s="33" t="str">
        <f t="shared" si="2"/>
        <v>K40+500.000～K41+000.000</v>
      </c>
      <c r="B56" s="44">
        <f t="shared" si="3"/>
        <v>500</v>
      </c>
      <c r="C56" s="44">
        <f t="shared" si="4"/>
        <v>47489.51953125</v>
      </c>
      <c r="D56" s="44">
        <f t="shared" si="18"/>
        <v>4748.9519531249998</v>
      </c>
      <c r="E56" s="44">
        <f t="shared" si="18"/>
        <v>9497.9039062499996</v>
      </c>
      <c r="F56" s="44">
        <f t="shared" si="18"/>
        <v>0</v>
      </c>
      <c r="G56" s="44">
        <f t="shared" si="18"/>
        <v>18995.807812499999</v>
      </c>
      <c r="H56" s="44">
        <f t="shared" si="18"/>
        <v>14246.855859375</v>
      </c>
      <c r="I56" s="44">
        <f t="shared" si="18"/>
        <v>0</v>
      </c>
      <c r="J56" s="44">
        <f t="shared" si="5"/>
        <v>440.989990234375</v>
      </c>
      <c r="K56" s="44">
        <f t="shared" si="6"/>
        <v>88.197998046875</v>
      </c>
      <c r="L56" s="44">
        <f t="shared" si="7"/>
        <v>352.7919921875</v>
      </c>
      <c r="M56" s="44">
        <f t="shared" si="8"/>
        <v>5.0272858886718756</v>
      </c>
      <c r="N56" s="44">
        <f t="shared" si="9"/>
        <v>20.109143554687503</v>
      </c>
      <c r="O56" s="44">
        <f t="shared" si="20"/>
        <v>9492.8766203613286</v>
      </c>
      <c r="P56" s="44">
        <f t="shared" si="21"/>
        <v>33222.554528320317</v>
      </c>
      <c r="Q56" s="34">
        <v>2601</v>
      </c>
      <c r="R56" s="34">
        <v>5847</v>
      </c>
      <c r="S56" s="40"/>
      <c r="T56" s="41">
        <v>9395.5942285156252</v>
      </c>
      <c r="U56" s="40">
        <v>32859.194115149461</v>
      </c>
      <c r="V56" s="41"/>
      <c r="W56" s="34">
        <f t="shared" si="11"/>
        <v>4748.9519531249998</v>
      </c>
      <c r="X56" s="44">
        <f t="shared" si="12"/>
        <v>0</v>
      </c>
      <c r="Y56" s="70">
        <v>37255.53</v>
      </c>
      <c r="Z56" s="70">
        <v>0</v>
      </c>
      <c r="AA56" s="71"/>
      <c r="AG56" s="47">
        <v>40500</v>
      </c>
      <c r="AH56" s="47">
        <f t="shared" si="19"/>
        <v>41000</v>
      </c>
      <c r="AI56" s="48">
        <v>47489.51953125</v>
      </c>
      <c r="AJ56" s="48">
        <v>440.989990234375</v>
      </c>
      <c r="AK56" s="48">
        <v>10</v>
      </c>
      <c r="AL56" s="48">
        <v>20</v>
      </c>
      <c r="AM56" s="48">
        <v>0</v>
      </c>
      <c r="AN56" s="48">
        <v>40</v>
      </c>
      <c r="AO56" s="48">
        <v>30</v>
      </c>
      <c r="AP56" s="48">
        <v>0</v>
      </c>
      <c r="AQ56" s="49">
        <f t="shared" si="14"/>
        <v>0</v>
      </c>
      <c r="AR56" s="49">
        <f t="shared" si="15"/>
        <v>0</v>
      </c>
    </row>
    <row r="57" spans="1:44" s="48" customFormat="1" ht="20.100000000000001" customHeight="1">
      <c r="A57" s="33" t="str">
        <f t="shared" si="2"/>
        <v>K41+000.000～K41+647.860</v>
      </c>
      <c r="B57" s="44">
        <f t="shared" si="3"/>
        <v>647.86000000000058</v>
      </c>
      <c r="C57" s="44">
        <f t="shared" si="4"/>
        <v>37066.71484375</v>
      </c>
      <c r="D57" s="44">
        <f t="shared" si="18"/>
        <v>3706.6714843750001</v>
      </c>
      <c r="E57" s="44">
        <f t="shared" si="18"/>
        <v>7413.3429687500002</v>
      </c>
      <c r="F57" s="44">
        <f t="shared" si="18"/>
        <v>0</v>
      </c>
      <c r="G57" s="44">
        <f t="shared" si="18"/>
        <v>14826.6859375</v>
      </c>
      <c r="H57" s="44">
        <f t="shared" si="18"/>
        <v>11120.014453125001</v>
      </c>
      <c r="I57" s="44">
        <f t="shared" si="18"/>
        <v>0</v>
      </c>
      <c r="J57" s="44">
        <f t="shared" si="5"/>
        <v>1405.6639404296875</v>
      </c>
      <c r="K57" s="44">
        <f t="shared" si="6"/>
        <v>281.13278808593753</v>
      </c>
      <c r="L57" s="44">
        <f t="shared" si="7"/>
        <v>1124.5311523437499</v>
      </c>
      <c r="M57" s="44">
        <f t="shared" si="8"/>
        <v>16.024568920898439</v>
      </c>
      <c r="N57" s="44">
        <f t="shared" si="9"/>
        <v>64.098275683593755</v>
      </c>
      <c r="O57" s="44">
        <f t="shared" si="20"/>
        <v>7397.3183998291015</v>
      </c>
      <c r="P57" s="44">
        <f t="shared" si="21"/>
        <v>25882.602114941408</v>
      </c>
      <c r="Q57" s="34">
        <v>2056</v>
      </c>
      <c r="R57" s="34">
        <v>5409</v>
      </c>
      <c r="S57" s="40"/>
      <c r="T57" s="41">
        <v>7087.228934570312</v>
      </c>
      <c r="U57" s="40">
        <v>24724.383920686145</v>
      </c>
      <c r="V57" s="41"/>
      <c r="W57" s="34">
        <f t="shared" si="11"/>
        <v>3706.6714843750001</v>
      </c>
      <c r="X57" s="44">
        <f t="shared" si="12"/>
        <v>0</v>
      </c>
      <c r="Y57" s="70">
        <v>26951.47</v>
      </c>
      <c r="Z57" s="70">
        <v>0</v>
      </c>
      <c r="AA57" s="71"/>
      <c r="AG57" s="47">
        <v>41000</v>
      </c>
      <c r="AH57" s="47">
        <f t="shared" si="19"/>
        <v>41647.86</v>
      </c>
      <c r="AI57" s="48">
        <v>37066.71484375</v>
      </c>
      <c r="AJ57" s="48">
        <v>1405.6639404296875</v>
      </c>
      <c r="AK57" s="48">
        <v>10</v>
      </c>
      <c r="AL57" s="48">
        <v>20</v>
      </c>
      <c r="AM57" s="48">
        <v>0</v>
      </c>
      <c r="AN57" s="48">
        <v>40</v>
      </c>
      <c r="AO57" s="48">
        <v>30</v>
      </c>
      <c r="AP57" s="48">
        <v>0</v>
      </c>
      <c r="AQ57" s="49">
        <f t="shared" si="14"/>
        <v>0</v>
      </c>
      <c r="AR57" s="49">
        <f t="shared" si="15"/>
        <v>0</v>
      </c>
    </row>
    <row r="58" spans="1:44" s="48" customFormat="1" ht="20.100000000000001" customHeight="1">
      <c r="A58" s="33" t="str">
        <f t="shared" si="2"/>
        <v>K41+647.860～K42+000.000</v>
      </c>
      <c r="B58" s="44">
        <f t="shared" si="3"/>
        <v>352.13999999999942</v>
      </c>
      <c r="C58" s="44">
        <f t="shared" si="4"/>
        <v>10830.0986328125</v>
      </c>
      <c r="D58" s="44">
        <f t="shared" si="18"/>
        <v>1083.0098632812501</v>
      </c>
      <c r="E58" s="44">
        <f t="shared" si="18"/>
        <v>2166.0197265625002</v>
      </c>
      <c r="F58" s="44">
        <f t="shared" si="18"/>
        <v>0</v>
      </c>
      <c r="G58" s="44">
        <f t="shared" si="18"/>
        <v>4332.0394531250004</v>
      </c>
      <c r="H58" s="44">
        <f t="shared" si="18"/>
        <v>3249.0295898437498</v>
      </c>
      <c r="I58" s="44">
        <f t="shared" si="18"/>
        <v>0</v>
      </c>
      <c r="J58" s="44">
        <f t="shared" si="5"/>
        <v>1060.0111083984375</v>
      </c>
      <c r="K58" s="44">
        <f t="shared" si="6"/>
        <v>212.00222167968752</v>
      </c>
      <c r="L58" s="44">
        <f t="shared" si="7"/>
        <v>848.00888671874998</v>
      </c>
      <c r="M58" s="44">
        <f t="shared" si="8"/>
        <v>12.084126635742189</v>
      </c>
      <c r="N58" s="44">
        <f t="shared" si="9"/>
        <v>48.336506542968756</v>
      </c>
      <c r="O58" s="44">
        <f t="shared" si="20"/>
        <v>2153.9355999267582</v>
      </c>
      <c r="P58" s="44">
        <f t="shared" si="21"/>
        <v>7532.7325364257813</v>
      </c>
      <c r="Q58" s="34">
        <v>318</v>
      </c>
      <c r="R58" s="34">
        <v>1913</v>
      </c>
      <c r="S58" s="40"/>
      <c r="T58" s="41">
        <v>1920.0971494140629</v>
      </c>
      <c r="U58" s="40">
        <v>6659.3202530570652</v>
      </c>
      <c r="V58" s="41"/>
      <c r="W58" s="34">
        <f t="shared" si="11"/>
        <v>1083.0098632812501</v>
      </c>
      <c r="X58" s="44">
        <f t="shared" si="12"/>
        <v>0</v>
      </c>
      <c r="Y58" s="70">
        <v>7333.14</v>
      </c>
      <c r="Z58" s="70">
        <v>0</v>
      </c>
      <c r="AA58" s="71"/>
      <c r="AG58" s="47">
        <v>41647.86</v>
      </c>
      <c r="AH58" s="47">
        <f t="shared" si="19"/>
        <v>42000</v>
      </c>
      <c r="AI58" s="48">
        <v>10830.0986328125</v>
      </c>
      <c r="AJ58" s="48">
        <v>1060.0111083984375</v>
      </c>
      <c r="AK58" s="48">
        <v>10</v>
      </c>
      <c r="AL58" s="48">
        <v>20</v>
      </c>
      <c r="AM58" s="48">
        <v>0</v>
      </c>
      <c r="AN58" s="48">
        <v>40</v>
      </c>
      <c r="AO58" s="48">
        <v>30</v>
      </c>
      <c r="AP58" s="48">
        <v>0</v>
      </c>
      <c r="AQ58" s="49">
        <f t="shared" si="14"/>
        <v>0</v>
      </c>
      <c r="AR58" s="49">
        <f t="shared" si="15"/>
        <v>0</v>
      </c>
    </row>
    <row r="59" spans="1:44" s="48" customFormat="1" ht="20.100000000000001" customHeight="1">
      <c r="A59" s="33" t="str">
        <f t="shared" si="2"/>
        <v>K42+000.000～K43+000.000</v>
      </c>
      <c r="B59" s="44">
        <f t="shared" si="3"/>
        <v>1000</v>
      </c>
      <c r="C59" s="44">
        <f t="shared" si="4"/>
        <v>43494.07421875</v>
      </c>
      <c r="D59" s="44">
        <f t="shared" si="18"/>
        <v>4349.4074218750002</v>
      </c>
      <c r="E59" s="44">
        <f t="shared" si="18"/>
        <v>8698.8148437500004</v>
      </c>
      <c r="F59" s="44">
        <f t="shared" si="18"/>
        <v>0</v>
      </c>
      <c r="G59" s="44">
        <f t="shared" si="18"/>
        <v>17397.629687500001</v>
      </c>
      <c r="H59" s="44">
        <f t="shared" si="18"/>
        <v>13048.222265625</v>
      </c>
      <c r="I59" s="44">
        <f t="shared" si="18"/>
        <v>0</v>
      </c>
      <c r="J59" s="44">
        <f t="shared" si="5"/>
        <v>241711.125</v>
      </c>
      <c r="K59" s="44">
        <f t="shared" si="6"/>
        <v>48342.225000000006</v>
      </c>
      <c r="L59" s="44">
        <f t="shared" si="7"/>
        <v>193368.9</v>
      </c>
      <c r="M59" s="44">
        <f t="shared" si="8"/>
        <v>2755.5068250000004</v>
      </c>
      <c r="N59" s="44">
        <f t="shared" si="9"/>
        <v>11022.027300000002</v>
      </c>
      <c r="O59" s="44">
        <f>E59+F59-M59</f>
        <v>5943.30801875</v>
      </c>
      <c r="P59" s="44">
        <f>G59+H59+I59-N59</f>
        <v>19423.824653124997</v>
      </c>
      <c r="Q59" s="34">
        <v>4332</v>
      </c>
      <c r="R59" s="34">
        <v>7652</v>
      </c>
      <c r="S59" s="40"/>
      <c r="T59" s="41"/>
      <c r="U59" s="40"/>
      <c r="V59" s="41"/>
      <c r="W59" s="34">
        <f t="shared" si="11"/>
        <v>4349.4074218750002</v>
      </c>
      <c r="X59" s="44">
        <f t="shared" si="12"/>
        <v>0</v>
      </c>
      <c r="Y59" s="70">
        <v>26509.64</v>
      </c>
      <c r="Z59" s="70">
        <v>0</v>
      </c>
      <c r="AA59" s="71"/>
      <c r="AG59" s="47">
        <v>42000</v>
      </c>
      <c r="AH59" s="47">
        <f t="shared" si="19"/>
        <v>43000</v>
      </c>
      <c r="AI59" s="48">
        <v>43494.07421875</v>
      </c>
      <c r="AJ59" s="48">
        <v>241711.125</v>
      </c>
      <c r="AK59" s="48">
        <v>10</v>
      </c>
      <c r="AL59" s="48">
        <v>20</v>
      </c>
      <c r="AM59" s="48">
        <v>0</v>
      </c>
      <c r="AN59" s="48">
        <v>40</v>
      </c>
      <c r="AO59" s="48">
        <v>30</v>
      </c>
      <c r="AP59" s="48">
        <v>0</v>
      </c>
      <c r="AQ59" s="49">
        <f t="shared" si="14"/>
        <v>0</v>
      </c>
      <c r="AR59" s="49">
        <f t="shared" si="15"/>
        <v>0</v>
      </c>
    </row>
    <row r="60" spans="1:44" s="48" customFormat="1" ht="20.100000000000001" customHeight="1">
      <c r="A60" s="33" t="str">
        <f t="shared" si="2"/>
        <v>K43+000.000～K43+109.798</v>
      </c>
      <c r="B60" s="44">
        <f t="shared" si="3"/>
        <v>109.7980000000025</v>
      </c>
      <c r="C60" s="44">
        <f t="shared" si="4"/>
        <v>58.037101745605469</v>
      </c>
      <c r="D60" s="44">
        <f t="shared" si="18"/>
        <v>5.8037101745605471</v>
      </c>
      <c r="E60" s="44">
        <f t="shared" si="18"/>
        <v>11.607420349121094</v>
      </c>
      <c r="F60" s="44">
        <f t="shared" si="18"/>
        <v>0</v>
      </c>
      <c r="G60" s="44">
        <f t="shared" si="18"/>
        <v>23.214840698242188</v>
      </c>
      <c r="H60" s="44">
        <f t="shared" si="18"/>
        <v>17.411130523681642</v>
      </c>
      <c r="I60" s="44">
        <f t="shared" si="18"/>
        <v>0</v>
      </c>
      <c r="J60" s="44">
        <f t="shared" si="5"/>
        <v>104680.65625</v>
      </c>
      <c r="K60" s="44">
        <f t="shared" si="6"/>
        <v>20936.131250000002</v>
      </c>
      <c r="L60" s="44">
        <f t="shared" si="7"/>
        <v>83744.524999999994</v>
      </c>
      <c r="M60" s="44">
        <f>E60</f>
        <v>11.607420349121094</v>
      </c>
      <c r="N60" s="44">
        <f>G60+H60</f>
        <v>40.625971221923834</v>
      </c>
      <c r="O60" s="76">
        <f>E60+F60-M60</f>
        <v>0</v>
      </c>
      <c r="P60" s="76">
        <f>G60+H60+I60-N60</f>
        <v>0</v>
      </c>
      <c r="Q60" s="34">
        <v>0</v>
      </c>
      <c r="R60" s="34">
        <v>0</v>
      </c>
      <c r="S60" s="40"/>
      <c r="T60" s="41"/>
      <c r="U60" s="40"/>
      <c r="V60" s="41"/>
      <c r="W60" s="34">
        <f t="shared" si="11"/>
        <v>5.8037101745605471</v>
      </c>
      <c r="X60" s="44">
        <f t="shared" si="12"/>
        <v>0</v>
      </c>
      <c r="Y60" s="70">
        <v>32.15</v>
      </c>
      <c r="Z60" s="70">
        <v>0</v>
      </c>
      <c r="AA60" s="71"/>
      <c r="AG60" s="47">
        <v>43000</v>
      </c>
      <c r="AH60" s="47">
        <f t="shared" si="19"/>
        <v>43109.798000000003</v>
      </c>
      <c r="AI60" s="48">
        <v>58.037101745605469</v>
      </c>
      <c r="AJ60" s="48">
        <v>104680.65625</v>
      </c>
      <c r="AK60" s="48">
        <v>10</v>
      </c>
      <c r="AL60" s="48">
        <v>20</v>
      </c>
      <c r="AM60" s="48">
        <v>0</v>
      </c>
      <c r="AN60" s="48">
        <v>40</v>
      </c>
      <c r="AO60" s="48">
        <v>30</v>
      </c>
      <c r="AP60" s="48">
        <v>0</v>
      </c>
      <c r="AQ60" s="49">
        <f t="shared" si="14"/>
        <v>0</v>
      </c>
      <c r="AR60" s="49">
        <f t="shared" si="15"/>
        <v>0</v>
      </c>
    </row>
    <row r="61" spans="1:44" s="48" customFormat="1" ht="20.100000000000001" customHeight="1" thickBot="1">
      <c r="A61" s="77" t="str">
        <f t="shared" si="2"/>
        <v>K43+109.798～K44+000.000</v>
      </c>
      <c r="B61" s="58">
        <f t="shared" si="3"/>
        <v>890.2019999999975</v>
      </c>
      <c r="C61" s="58">
        <f t="shared" si="4"/>
        <v>81445.4609375</v>
      </c>
      <c r="D61" s="58">
        <f t="shared" si="18"/>
        <v>8144.5460937500002</v>
      </c>
      <c r="E61" s="58">
        <f t="shared" si="18"/>
        <v>16289.0921875</v>
      </c>
      <c r="F61" s="58">
        <f t="shared" si="18"/>
        <v>0</v>
      </c>
      <c r="G61" s="58">
        <f t="shared" si="18"/>
        <v>32578.184375000001</v>
      </c>
      <c r="H61" s="58">
        <f t="shared" si="18"/>
        <v>24433.638281250001</v>
      </c>
      <c r="I61" s="58">
        <f t="shared" si="18"/>
        <v>0</v>
      </c>
      <c r="J61" s="58">
        <f t="shared" si="5"/>
        <v>146538.0625</v>
      </c>
      <c r="K61" s="58">
        <f t="shared" si="6"/>
        <v>29307.612500000003</v>
      </c>
      <c r="L61" s="58">
        <f t="shared" si="7"/>
        <v>117230.45</v>
      </c>
      <c r="M61" s="58">
        <f t="shared" si="8"/>
        <v>1670.5339125000003</v>
      </c>
      <c r="N61" s="58">
        <f t="shared" si="9"/>
        <v>6682.1356500000011</v>
      </c>
      <c r="O61" s="58">
        <f>E61+F61-M61</f>
        <v>14618.558274999999</v>
      </c>
      <c r="P61" s="58">
        <f>G61+H61+I61-N61</f>
        <v>50329.687006250002</v>
      </c>
      <c r="Q61" s="34">
        <v>6519</v>
      </c>
      <c r="R61" s="34">
        <v>24158</v>
      </c>
      <c r="S61" s="59"/>
      <c r="T61" s="60"/>
      <c r="U61" s="59"/>
      <c r="V61" s="60"/>
      <c r="W61" s="61">
        <f t="shared" si="11"/>
        <v>8144.5460937500002</v>
      </c>
      <c r="X61" s="58">
        <f t="shared" si="12"/>
        <v>0</v>
      </c>
      <c r="Y61" s="78">
        <v>41049.339999999997</v>
      </c>
      <c r="Z61" s="78">
        <v>0</v>
      </c>
      <c r="AA61" s="79"/>
      <c r="AG61" s="47">
        <v>43109.798000000003</v>
      </c>
      <c r="AH61" s="47">
        <f t="shared" si="19"/>
        <v>44000</v>
      </c>
      <c r="AI61" s="48">
        <v>81445.4609375</v>
      </c>
      <c r="AJ61" s="48">
        <v>146538.0625</v>
      </c>
      <c r="AK61" s="48">
        <v>10</v>
      </c>
      <c r="AL61" s="48">
        <v>20</v>
      </c>
      <c r="AM61" s="48">
        <v>0</v>
      </c>
      <c r="AN61" s="48">
        <v>40</v>
      </c>
      <c r="AO61" s="48">
        <v>30</v>
      </c>
      <c r="AP61" s="48">
        <v>0</v>
      </c>
      <c r="AQ61" s="49">
        <f t="shared" si="14"/>
        <v>0</v>
      </c>
      <c r="AR61" s="49">
        <f t="shared" si="15"/>
        <v>0</v>
      </c>
    </row>
    <row r="62" spans="1:44" s="48" customFormat="1" ht="20.100000000000001" customHeight="1">
      <c r="A62" s="63" t="str">
        <f t="shared" si="2"/>
        <v>K44+000.000～K45+000.000</v>
      </c>
      <c r="B62" s="80">
        <f t="shared" si="3"/>
        <v>1000</v>
      </c>
      <c r="C62" s="80">
        <f t="shared" si="4"/>
        <v>105766.609375</v>
      </c>
      <c r="D62" s="80">
        <f t="shared" si="18"/>
        <v>10576.660937500001</v>
      </c>
      <c r="E62" s="80">
        <f t="shared" si="18"/>
        <v>21153.321875000001</v>
      </c>
      <c r="F62" s="80">
        <f t="shared" si="18"/>
        <v>0</v>
      </c>
      <c r="G62" s="80">
        <f t="shared" si="18"/>
        <v>42306.643750000003</v>
      </c>
      <c r="H62" s="80">
        <f t="shared" si="18"/>
        <v>31729.982812499999</v>
      </c>
      <c r="I62" s="80">
        <f t="shared" si="18"/>
        <v>0</v>
      </c>
      <c r="J62" s="80">
        <f t="shared" si="5"/>
        <v>63867.48828125</v>
      </c>
      <c r="K62" s="80">
        <f t="shared" si="6"/>
        <v>12773.497656250001</v>
      </c>
      <c r="L62" s="80">
        <f t="shared" si="7"/>
        <v>51093.990624999999</v>
      </c>
      <c r="M62" s="80">
        <f t="shared" si="8"/>
        <v>728.08936640625006</v>
      </c>
      <c r="N62" s="80">
        <f t="shared" si="9"/>
        <v>2912.3574656250003</v>
      </c>
      <c r="O62" s="80">
        <f>K62*1.16-M62+T62</f>
        <v>20425.232508593752</v>
      </c>
      <c r="P62" s="80">
        <f>L62/0.92-N62+U62</f>
        <v>71124.269096874996</v>
      </c>
      <c r="Q62" s="34">
        <v>15441</v>
      </c>
      <c r="R62" s="34">
        <v>27311</v>
      </c>
      <c r="S62" s="65"/>
      <c r="T62" s="66">
        <v>6336.0645937500012</v>
      </c>
      <c r="U62" s="65">
        <v>18499.680230978258</v>
      </c>
      <c r="V62" s="66"/>
      <c r="W62" s="64">
        <f t="shared" si="11"/>
        <v>10576.660937500001</v>
      </c>
      <c r="X62" s="80">
        <f t="shared" si="12"/>
        <v>0</v>
      </c>
      <c r="Y62" s="81">
        <v>43311.43</v>
      </c>
      <c r="Z62" s="81">
        <v>0</v>
      </c>
      <c r="AA62" s="82"/>
      <c r="AG62" s="47">
        <v>44000</v>
      </c>
      <c r="AH62" s="47">
        <f t="shared" si="19"/>
        <v>45000</v>
      </c>
      <c r="AI62" s="48">
        <v>105766.609375</v>
      </c>
      <c r="AJ62" s="48">
        <v>63867.48828125</v>
      </c>
      <c r="AK62" s="48">
        <v>10</v>
      </c>
      <c r="AL62" s="48">
        <v>20</v>
      </c>
      <c r="AM62" s="48">
        <v>0</v>
      </c>
      <c r="AN62" s="48">
        <v>40</v>
      </c>
      <c r="AO62" s="48">
        <v>30</v>
      </c>
      <c r="AP62" s="48">
        <v>0</v>
      </c>
      <c r="AQ62" s="49">
        <f t="shared" si="14"/>
        <v>0</v>
      </c>
      <c r="AR62" s="49">
        <f t="shared" si="15"/>
        <v>0</v>
      </c>
    </row>
    <row r="63" spans="1:44" s="48" customFormat="1" ht="20.100000000000001" customHeight="1">
      <c r="A63" s="33" t="str">
        <f t="shared" si="2"/>
        <v>K45+000.000～K46+000.000</v>
      </c>
      <c r="B63" s="44">
        <f t="shared" si="3"/>
        <v>1000</v>
      </c>
      <c r="C63" s="44">
        <f t="shared" si="4"/>
        <v>59600.0625</v>
      </c>
      <c r="D63" s="44">
        <f t="shared" si="18"/>
        <v>5960.0062500000004</v>
      </c>
      <c r="E63" s="44">
        <f t="shared" si="18"/>
        <v>11920.012500000001</v>
      </c>
      <c r="F63" s="44">
        <f t="shared" si="18"/>
        <v>0</v>
      </c>
      <c r="G63" s="44">
        <f t="shared" si="18"/>
        <v>23840.025000000001</v>
      </c>
      <c r="H63" s="44">
        <f t="shared" si="18"/>
        <v>17880.018749999999</v>
      </c>
      <c r="I63" s="44">
        <f t="shared" si="18"/>
        <v>0</v>
      </c>
      <c r="J63" s="44">
        <f t="shared" si="5"/>
        <v>9386.4677734375</v>
      </c>
      <c r="K63" s="44">
        <f t="shared" si="6"/>
        <v>1877.2935546875001</v>
      </c>
      <c r="L63" s="44">
        <f t="shared" si="7"/>
        <v>7509.1742187500004</v>
      </c>
      <c r="M63" s="44">
        <f t="shared" si="8"/>
        <v>107.0057326171875</v>
      </c>
      <c r="N63" s="44">
        <f t="shared" si="9"/>
        <v>428.02293046875002</v>
      </c>
      <c r="O63" s="44">
        <f>K63*1.16-M63+T63</f>
        <v>11813.006767382813</v>
      </c>
      <c r="P63" s="44">
        <f>L63/0.92-N63+U63</f>
        <v>41292.020819531244</v>
      </c>
      <c r="Q63" s="34">
        <v>5729</v>
      </c>
      <c r="R63" s="34">
        <v>22132</v>
      </c>
      <c r="S63" s="40"/>
      <c r="T63" s="41">
        <v>9742.3519765624987</v>
      </c>
      <c r="U63" s="40">
        <v>33557.897860054341</v>
      </c>
      <c r="V63" s="41"/>
      <c r="W63" s="34">
        <f t="shared" si="11"/>
        <v>5960.0062500000004</v>
      </c>
      <c r="X63" s="44">
        <f t="shared" si="12"/>
        <v>0</v>
      </c>
      <c r="Y63" s="70">
        <v>18446.22</v>
      </c>
      <c r="Z63" s="70">
        <v>0</v>
      </c>
      <c r="AA63" s="71"/>
      <c r="AG63" s="47">
        <v>45000</v>
      </c>
      <c r="AH63" s="47">
        <f t="shared" si="19"/>
        <v>46000</v>
      </c>
      <c r="AI63" s="48">
        <v>59600.0625</v>
      </c>
      <c r="AJ63" s="48">
        <v>9386.4677734375</v>
      </c>
      <c r="AK63" s="48">
        <v>10</v>
      </c>
      <c r="AL63" s="48">
        <v>20</v>
      </c>
      <c r="AM63" s="48">
        <v>0</v>
      </c>
      <c r="AN63" s="48">
        <v>40</v>
      </c>
      <c r="AO63" s="48">
        <v>30</v>
      </c>
      <c r="AP63" s="48">
        <v>0</v>
      </c>
      <c r="AQ63" s="49">
        <f t="shared" si="14"/>
        <v>0</v>
      </c>
      <c r="AR63" s="49">
        <f t="shared" si="15"/>
        <v>0</v>
      </c>
    </row>
    <row r="64" spans="1:44" s="48" customFormat="1" ht="20.100000000000001" customHeight="1">
      <c r="A64" s="33" t="str">
        <f t="shared" si="2"/>
        <v>K46+000.000～K47+000.000</v>
      </c>
      <c r="B64" s="44">
        <f t="shared" si="3"/>
        <v>1000</v>
      </c>
      <c r="C64" s="44">
        <f t="shared" si="4"/>
        <v>383371.625</v>
      </c>
      <c r="D64" s="44">
        <f t="shared" si="18"/>
        <v>38337.162499999999</v>
      </c>
      <c r="E64" s="44">
        <f t="shared" si="18"/>
        <v>76674.324999999997</v>
      </c>
      <c r="F64" s="44">
        <f t="shared" si="18"/>
        <v>0</v>
      </c>
      <c r="G64" s="44">
        <f t="shared" si="18"/>
        <v>153348.65</v>
      </c>
      <c r="H64" s="44">
        <f t="shared" si="18"/>
        <v>115011.4875</v>
      </c>
      <c r="I64" s="44">
        <f t="shared" si="18"/>
        <v>0</v>
      </c>
      <c r="J64" s="44">
        <f t="shared" si="5"/>
        <v>5018.65673828125</v>
      </c>
      <c r="K64" s="44">
        <f t="shared" si="6"/>
        <v>1003.73134765625</v>
      </c>
      <c r="L64" s="44">
        <f t="shared" si="7"/>
        <v>4014.9253906250001</v>
      </c>
      <c r="M64" s="44">
        <f t="shared" si="8"/>
        <v>57.212686816406261</v>
      </c>
      <c r="N64" s="44">
        <f t="shared" si="9"/>
        <v>228.85074726562505</v>
      </c>
      <c r="O64" s="44">
        <f>K64*1.16-M64-T64</f>
        <v>25335.882050701905</v>
      </c>
      <c r="P64" s="44">
        <f>L64/0.92-N64-U64</f>
        <v>56192.776681402844</v>
      </c>
      <c r="Q64" s="34">
        <v>13580</v>
      </c>
      <c r="R64" s="34">
        <v>16970</v>
      </c>
      <c r="S64" s="40"/>
      <c r="T64" s="41">
        <f>(SUM(T62:T63)+W60+W61)*-1</f>
        <v>-24228.766374237061</v>
      </c>
      <c r="U64" s="41">
        <f>(SUM(U62:U63)+X60+X61)*-1</f>
        <v>-52057.578091032599</v>
      </c>
      <c r="V64" s="41"/>
      <c r="W64" s="34">
        <f t="shared" si="11"/>
        <v>89618.392762481686</v>
      </c>
      <c r="X64" s="44">
        <f t="shared" si="12"/>
        <v>211938.51007133155</v>
      </c>
      <c r="Y64" s="70">
        <v>340226.65</v>
      </c>
      <c r="Z64" s="70">
        <v>804601.9375</v>
      </c>
      <c r="AA64" s="71"/>
      <c r="AG64" s="47">
        <v>46000</v>
      </c>
      <c r="AH64" s="47">
        <f t="shared" si="19"/>
        <v>47000</v>
      </c>
      <c r="AI64" s="48">
        <v>383371.625</v>
      </c>
      <c r="AJ64" s="48">
        <v>5018.65673828125</v>
      </c>
      <c r="AK64" s="48">
        <v>10</v>
      </c>
      <c r="AL64" s="48">
        <v>20</v>
      </c>
      <c r="AM64" s="48">
        <v>0</v>
      </c>
      <c r="AN64" s="48">
        <v>40</v>
      </c>
      <c r="AO64" s="48">
        <v>30</v>
      </c>
      <c r="AP64" s="48">
        <v>0</v>
      </c>
      <c r="AQ64" s="49">
        <f t="shared" si="14"/>
        <v>51281.230262481688</v>
      </c>
      <c r="AR64" s="49">
        <f t="shared" si="15"/>
        <v>211938.51007133155</v>
      </c>
    </row>
    <row r="65" spans="1:44" ht="20.100000000000001" customHeight="1">
      <c r="A65" s="33" t="str">
        <f t="shared" si="2"/>
        <v>K47+000.000～K48+000.000</v>
      </c>
      <c r="B65" s="34">
        <f t="shared" si="3"/>
        <v>1000</v>
      </c>
      <c r="C65" s="34">
        <f t="shared" si="4"/>
        <v>62748.78125</v>
      </c>
      <c r="D65" s="34">
        <f t="shared" si="18"/>
        <v>6274.8781250000002</v>
      </c>
      <c r="E65" s="34">
        <f t="shared" si="18"/>
        <v>12549.75625</v>
      </c>
      <c r="F65" s="34">
        <f t="shared" si="18"/>
        <v>0</v>
      </c>
      <c r="G65" s="34">
        <f t="shared" si="18"/>
        <v>25099.512500000001</v>
      </c>
      <c r="H65" s="34">
        <f t="shared" si="18"/>
        <v>18824.634375000001</v>
      </c>
      <c r="I65" s="34">
        <f t="shared" si="18"/>
        <v>0</v>
      </c>
      <c r="J65" s="34">
        <f t="shared" si="5"/>
        <v>1669.2890625</v>
      </c>
      <c r="K65" s="34">
        <f t="shared" si="6"/>
        <v>333.85781250000002</v>
      </c>
      <c r="L65" s="34">
        <f t="shared" si="7"/>
        <v>1335.4312500000001</v>
      </c>
      <c r="M65" s="34">
        <f t="shared" si="8"/>
        <v>19.029895312499999</v>
      </c>
      <c r="N65" s="34">
        <f t="shared" si="9"/>
        <v>76.119581249999996</v>
      </c>
      <c r="O65" s="34">
        <f t="shared" si="1"/>
        <v>368.24516718749999</v>
      </c>
      <c r="P65" s="34">
        <f t="shared" si="17"/>
        <v>1375.4361252717392</v>
      </c>
      <c r="Q65" s="34">
        <v>133</v>
      </c>
      <c r="R65" s="34">
        <v>554</v>
      </c>
      <c r="S65" s="40"/>
      <c r="T65" s="41"/>
      <c r="U65" s="40"/>
      <c r="V65" s="41"/>
      <c r="W65" s="34">
        <f t="shared" si="11"/>
        <v>18437.359312500001</v>
      </c>
      <c r="X65" s="34">
        <f t="shared" si="12"/>
        <v>42472.591168478262</v>
      </c>
      <c r="Y65" s="73">
        <v>68218.23</v>
      </c>
      <c r="Z65" s="73">
        <v>157148.578125</v>
      </c>
      <c r="AA65" s="74"/>
      <c r="AG65" s="42">
        <v>47000</v>
      </c>
      <c r="AH65" s="42">
        <f t="shared" si="19"/>
        <v>48000</v>
      </c>
      <c r="AI65" s="15">
        <v>62748.78125</v>
      </c>
      <c r="AJ65" s="15">
        <v>1669.2890625</v>
      </c>
      <c r="AK65" s="15">
        <v>10</v>
      </c>
      <c r="AL65" s="15">
        <v>20</v>
      </c>
      <c r="AM65" s="15">
        <v>0</v>
      </c>
      <c r="AN65" s="15">
        <v>40</v>
      </c>
      <c r="AO65" s="15">
        <v>30</v>
      </c>
      <c r="AP65" s="15">
        <v>0</v>
      </c>
      <c r="AQ65" s="43">
        <f t="shared" si="14"/>
        <v>12162.4811875</v>
      </c>
      <c r="AR65" s="43">
        <f t="shared" si="15"/>
        <v>42472.591168478262</v>
      </c>
    </row>
    <row r="66" spans="1:44" ht="20.100000000000001" customHeight="1">
      <c r="A66" s="33" t="str">
        <f t="shared" si="2"/>
        <v>K48+000.000～K49+000.000</v>
      </c>
      <c r="B66" s="34">
        <f t="shared" si="3"/>
        <v>1000</v>
      </c>
      <c r="C66" s="34">
        <f t="shared" si="4"/>
        <v>55796.91015625</v>
      </c>
      <c r="D66" s="34">
        <f t="shared" si="18"/>
        <v>5579.6910156249996</v>
      </c>
      <c r="E66" s="34">
        <f t="shared" si="18"/>
        <v>11159.382031249999</v>
      </c>
      <c r="F66" s="34">
        <f t="shared" si="18"/>
        <v>0</v>
      </c>
      <c r="G66" s="34">
        <f t="shared" si="18"/>
        <v>22318.764062499999</v>
      </c>
      <c r="H66" s="34">
        <f t="shared" ref="H66:I129" si="22">$C66*AO66/100</f>
        <v>16739.073046875001</v>
      </c>
      <c r="I66" s="34">
        <f t="shared" si="22"/>
        <v>0</v>
      </c>
      <c r="J66" s="34">
        <f t="shared" si="5"/>
        <v>13382.5947265625</v>
      </c>
      <c r="K66" s="34">
        <f t="shared" si="6"/>
        <v>2676.5189453125004</v>
      </c>
      <c r="L66" s="34">
        <f t="shared" si="7"/>
        <v>10706.07578125</v>
      </c>
      <c r="M66" s="34">
        <f t="shared" si="8"/>
        <v>152.56157988281254</v>
      </c>
      <c r="N66" s="34">
        <f t="shared" si="9"/>
        <v>610.24631953125015</v>
      </c>
      <c r="O66" s="34">
        <f t="shared" si="1"/>
        <v>2952.2003966796879</v>
      </c>
      <c r="P66" s="34">
        <f t="shared" si="17"/>
        <v>11026.792573131792</v>
      </c>
      <c r="Q66" s="34">
        <v>1050</v>
      </c>
      <c r="R66" s="34">
        <v>6064</v>
      </c>
      <c r="S66" s="40"/>
      <c r="T66" s="41"/>
      <c r="U66" s="40"/>
      <c r="V66" s="41"/>
      <c r="W66" s="34">
        <f t="shared" si="11"/>
        <v>13634.311070312498</v>
      </c>
      <c r="X66" s="34">
        <f t="shared" si="12"/>
        <v>27420.798216711959</v>
      </c>
      <c r="Y66" s="73">
        <v>36812.639999999999</v>
      </c>
      <c r="Z66" s="73">
        <v>74036.15625</v>
      </c>
      <c r="AA66" s="74"/>
      <c r="AG66" s="42">
        <v>48000</v>
      </c>
      <c r="AH66" s="42">
        <f t="shared" si="19"/>
        <v>49000</v>
      </c>
      <c r="AI66" s="15">
        <v>55796.91015625</v>
      </c>
      <c r="AJ66" s="15">
        <v>13382.5947265625</v>
      </c>
      <c r="AK66" s="15">
        <v>10</v>
      </c>
      <c r="AL66" s="15">
        <v>20</v>
      </c>
      <c r="AM66" s="15">
        <v>0</v>
      </c>
      <c r="AN66" s="15">
        <v>40</v>
      </c>
      <c r="AO66" s="15">
        <v>30</v>
      </c>
      <c r="AP66" s="15">
        <v>0</v>
      </c>
      <c r="AQ66" s="43">
        <f t="shared" si="14"/>
        <v>8054.6200546874989</v>
      </c>
      <c r="AR66" s="43">
        <f t="shared" si="15"/>
        <v>27420.798216711959</v>
      </c>
    </row>
    <row r="67" spans="1:44" ht="20.100000000000001" customHeight="1">
      <c r="A67" s="33" t="str">
        <f t="shared" si="2"/>
        <v>K49+000.000～K50+000.000</v>
      </c>
      <c r="B67" s="34">
        <f t="shared" si="3"/>
        <v>1000</v>
      </c>
      <c r="C67" s="34">
        <f t="shared" si="4"/>
        <v>56743.1953125</v>
      </c>
      <c r="D67" s="34">
        <f t="shared" ref="D67:G130" si="23">$C67*AK67/100</f>
        <v>5674.3195312500002</v>
      </c>
      <c r="E67" s="34">
        <f t="shared" si="23"/>
        <v>11348.6390625</v>
      </c>
      <c r="F67" s="34">
        <f t="shared" si="23"/>
        <v>0</v>
      </c>
      <c r="G67" s="34">
        <f t="shared" si="23"/>
        <v>22697.278125000001</v>
      </c>
      <c r="H67" s="34">
        <f t="shared" si="22"/>
        <v>17022.958593750001</v>
      </c>
      <c r="I67" s="34">
        <f t="shared" si="22"/>
        <v>0</v>
      </c>
      <c r="J67" s="34">
        <f t="shared" si="5"/>
        <v>14713.6943359375</v>
      </c>
      <c r="K67" s="34">
        <f t="shared" si="6"/>
        <v>2942.7388671875001</v>
      </c>
      <c r="L67" s="34">
        <f t="shared" si="7"/>
        <v>11770.95546875</v>
      </c>
      <c r="M67" s="34">
        <f t="shared" si="8"/>
        <v>167.73611542968752</v>
      </c>
      <c r="N67" s="34">
        <f t="shared" si="9"/>
        <v>670.94446171875006</v>
      </c>
      <c r="O67" s="34">
        <f t="shared" si="1"/>
        <v>3245.840970507812</v>
      </c>
      <c r="P67" s="34">
        <f t="shared" si="17"/>
        <v>12123.572352139945</v>
      </c>
      <c r="Q67" s="34">
        <v>2486</v>
      </c>
      <c r="R67" s="34">
        <v>5722</v>
      </c>
      <c r="S67" s="40"/>
      <c r="T67" s="41"/>
      <c r="U67" s="40"/>
      <c r="V67" s="41"/>
      <c r="W67" s="34">
        <f t="shared" si="11"/>
        <v>13609.381507812501</v>
      </c>
      <c r="X67" s="34">
        <f t="shared" si="12"/>
        <v>26925.719904891313</v>
      </c>
      <c r="Y67" s="73">
        <v>23135.95</v>
      </c>
      <c r="Z67" s="73">
        <v>45773.71875</v>
      </c>
      <c r="AA67" s="74"/>
      <c r="AG67" s="42">
        <v>49000</v>
      </c>
      <c r="AH67" s="42">
        <f t="shared" si="19"/>
        <v>50000</v>
      </c>
      <c r="AI67" s="15">
        <v>56743.1953125</v>
      </c>
      <c r="AJ67" s="15">
        <v>14713.6943359375</v>
      </c>
      <c r="AK67" s="15">
        <v>10</v>
      </c>
      <c r="AL67" s="15">
        <v>20</v>
      </c>
      <c r="AM67" s="15">
        <v>0</v>
      </c>
      <c r="AN67" s="15">
        <v>40</v>
      </c>
      <c r="AO67" s="15">
        <v>30</v>
      </c>
      <c r="AP67" s="15">
        <v>0</v>
      </c>
      <c r="AQ67" s="43">
        <f t="shared" si="14"/>
        <v>7935.0619765625015</v>
      </c>
      <c r="AR67" s="43">
        <f t="shared" si="15"/>
        <v>26925.719904891313</v>
      </c>
    </row>
    <row r="68" spans="1:44" s="48" customFormat="1" ht="20.100000000000001" customHeight="1">
      <c r="A68" s="33" t="str">
        <f t="shared" si="2"/>
        <v>K50+000.000～K51+000.000</v>
      </c>
      <c r="B68" s="44">
        <f t="shared" si="3"/>
        <v>1000</v>
      </c>
      <c r="C68" s="44">
        <f t="shared" si="4"/>
        <v>82065.8671875</v>
      </c>
      <c r="D68" s="44">
        <f t="shared" si="23"/>
        <v>8206.5867187500007</v>
      </c>
      <c r="E68" s="44">
        <f t="shared" si="23"/>
        <v>16413.173437500001</v>
      </c>
      <c r="F68" s="44">
        <f t="shared" si="23"/>
        <v>0</v>
      </c>
      <c r="G68" s="44">
        <f t="shared" si="23"/>
        <v>32826.346875000003</v>
      </c>
      <c r="H68" s="44">
        <f t="shared" si="22"/>
        <v>24619.760156249999</v>
      </c>
      <c r="I68" s="44">
        <f t="shared" si="22"/>
        <v>0</v>
      </c>
      <c r="J68" s="44">
        <f t="shared" si="5"/>
        <v>2049.638671875</v>
      </c>
      <c r="K68" s="44">
        <f t="shared" si="6"/>
        <v>409.927734375</v>
      </c>
      <c r="L68" s="44">
        <f t="shared" si="7"/>
        <v>1639.7109375</v>
      </c>
      <c r="M68" s="44">
        <f t="shared" si="8"/>
        <v>23.365880859375</v>
      </c>
      <c r="N68" s="44">
        <f t="shared" si="9"/>
        <v>93.463523437500001</v>
      </c>
      <c r="O68" s="44">
        <f>K68*1.16-M68+T68</f>
        <v>7543.2584707031274</v>
      </c>
      <c r="P68" s="44">
        <f>L68/0.92-N68+U68</f>
        <v>23624.997435292124</v>
      </c>
      <c r="Q68" s="34">
        <v>3032</v>
      </c>
      <c r="R68" s="34">
        <v>16159</v>
      </c>
      <c r="S68" s="40"/>
      <c r="T68" s="41">
        <v>7091.1081796875023</v>
      </c>
      <c r="U68" s="41">
        <v>21936.166461447014</v>
      </c>
      <c r="V68" s="41"/>
      <c r="W68" s="34">
        <f t="shared" si="11"/>
        <v>17053.135804687499</v>
      </c>
      <c r="X68" s="44">
        <f t="shared" si="12"/>
        <v>33727.64607252038</v>
      </c>
      <c r="Y68" s="70">
        <v>19566.79</v>
      </c>
      <c r="Z68" s="70">
        <v>38699.140625</v>
      </c>
      <c r="AA68" s="71"/>
      <c r="AG68" s="47">
        <v>50000</v>
      </c>
      <c r="AH68" s="47">
        <f t="shared" si="19"/>
        <v>51000</v>
      </c>
      <c r="AI68" s="48">
        <v>82065.8671875</v>
      </c>
      <c r="AJ68" s="48">
        <v>2049.638671875</v>
      </c>
      <c r="AK68" s="48">
        <v>10</v>
      </c>
      <c r="AL68" s="48">
        <v>20</v>
      </c>
      <c r="AM68" s="48">
        <v>0</v>
      </c>
      <c r="AN68" s="48">
        <v>40</v>
      </c>
      <c r="AO68" s="48">
        <v>30</v>
      </c>
      <c r="AP68" s="48">
        <v>0</v>
      </c>
      <c r="AQ68" s="49">
        <f t="shared" si="14"/>
        <v>8846.5490859374986</v>
      </c>
      <c r="AR68" s="49">
        <f t="shared" si="15"/>
        <v>33727.64607252038</v>
      </c>
    </row>
    <row r="69" spans="1:44" s="48" customFormat="1" ht="20.100000000000001" customHeight="1">
      <c r="A69" s="33" t="str">
        <f t="shared" si="2"/>
        <v>K51+000.000～K51+467.331</v>
      </c>
      <c r="B69" s="44">
        <f t="shared" si="3"/>
        <v>467.33099999999831</v>
      </c>
      <c r="C69" s="44">
        <f t="shared" si="4"/>
        <v>11479.3720703125</v>
      </c>
      <c r="D69" s="44">
        <f t="shared" si="23"/>
        <v>1147.93720703125</v>
      </c>
      <c r="E69" s="44">
        <f t="shared" si="23"/>
        <v>2295.8744140624999</v>
      </c>
      <c r="F69" s="44">
        <f t="shared" si="23"/>
        <v>0</v>
      </c>
      <c r="G69" s="44">
        <f t="shared" si="23"/>
        <v>4591.7488281249998</v>
      </c>
      <c r="H69" s="44">
        <f t="shared" si="22"/>
        <v>3443.8116210937501</v>
      </c>
      <c r="I69" s="44">
        <f t="shared" si="22"/>
        <v>0</v>
      </c>
      <c r="J69" s="44">
        <f t="shared" si="5"/>
        <v>48027.6875</v>
      </c>
      <c r="K69" s="44">
        <f t="shared" si="6"/>
        <v>9605.5375000000004</v>
      </c>
      <c r="L69" s="44">
        <f t="shared" si="7"/>
        <v>38422.15</v>
      </c>
      <c r="M69" s="44">
        <f t="shared" si="8"/>
        <v>547.51563750000003</v>
      </c>
      <c r="N69" s="44">
        <f t="shared" si="9"/>
        <v>2190.0625500000001</v>
      </c>
      <c r="O69" s="44">
        <f>E69+F69-M69</f>
        <v>1748.3587765624998</v>
      </c>
      <c r="P69" s="44">
        <f>G69+H69+I69-N69</f>
        <v>5845.4978992187498</v>
      </c>
      <c r="Q69" s="34">
        <v>382</v>
      </c>
      <c r="R69" s="34">
        <v>1923</v>
      </c>
      <c r="S69" s="40"/>
      <c r="T69" s="41"/>
      <c r="U69" s="40"/>
      <c r="V69" s="41"/>
      <c r="W69" s="34">
        <f t="shared" si="11"/>
        <v>1147.93720703125</v>
      </c>
      <c r="X69" s="44">
        <f t="shared" si="12"/>
        <v>0</v>
      </c>
      <c r="Y69" s="70">
        <v>796.28</v>
      </c>
      <c r="Z69" s="70">
        <v>0</v>
      </c>
      <c r="AA69" s="71"/>
      <c r="AG69" s="47">
        <v>51000</v>
      </c>
      <c r="AH69" s="47">
        <f t="shared" si="19"/>
        <v>51467.330999999998</v>
      </c>
      <c r="AI69" s="48">
        <v>11479.3720703125</v>
      </c>
      <c r="AJ69" s="48">
        <v>48027.6875</v>
      </c>
      <c r="AK69" s="48">
        <v>10</v>
      </c>
      <c r="AL69" s="48">
        <v>20</v>
      </c>
      <c r="AM69" s="48">
        <v>0</v>
      </c>
      <c r="AN69" s="48">
        <v>40</v>
      </c>
      <c r="AO69" s="48">
        <v>30</v>
      </c>
      <c r="AP69" s="48">
        <v>0</v>
      </c>
      <c r="AQ69" s="49">
        <f t="shared" si="14"/>
        <v>0</v>
      </c>
      <c r="AR69" s="49">
        <f t="shared" si="15"/>
        <v>0</v>
      </c>
    </row>
    <row r="70" spans="1:44" ht="20.100000000000001" customHeight="1">
      <c r="A70" s="33" t="str">
        <f t="shared" si="2"/>
        <v>K51+467.331～K52+000.000</v>
      </c>
      <c r="B70" s="34">
        <f t="shared" si="3"/>
        <v>532.66900000000169</v>
      </c>
      <c r="C70" s="34">
        <f t="shared" si="4"/>
        <v>24640.123046875</v>
      </c>
      <c r="D70" s="34">
        <f t="shared" si="23"/>
        <v>2464.0123046875001</v>
      </c>
      <c r="E70" s="34">
        <f t="shared" si="23"/>
        <v>4928.0246093750002</v>
      </c>
      <c r="F70" s="34">
        <f t="shared" si="23"/>
        <v>0</v>
      </c>
      <c r="G70" s="34">
        <f t="shared" si="23"/>
        <v>9856.0492187500004</v>
      </c>
      <c r="H70" s="34">
        <f t="shared" si="22"/>
        <v>7392.0369140624998</v>
      </c>
      <c r="I70" s="34">
        <f t="shared" si="22"/>
        <v>0</v>
      </c>
      <c r="J70" s="34">
        <f t="shared" si="5"/>
        <v>8607.2333984375</v>
      </c>
      <c r="K70" s="34">
        <f t="shared" si="6"/>
        <v>1721.4466796875001</v>
      </c>
      <c r="L70" s="34">
        <f t="shared" si="7"/>
        <v>6885.7867187499996</v>
      </c>
      <c r="M70" s="34">
        <f t="shared" si="8"/>
        <v>98.122460742187513</v>
      </c>
      <c r="N70" s="34">
        <f t="shared" si="9"/>
        <v>392.48984296875005</v>
      </c>
      <c r="O70" s="34">
        <f t="shared" si="1"/>
        <v>1898.7556876953124</v>
      </c>
      <c r="P70" s="34">
        <f t="shared" si="17"/>
        <v>7092.060938281249</v>
      </c>
      <c r="Q70" s="34">
        <v>746</v>
      </c>
      <c r="R70" s="34">
        <v>2141</v>
      </c>
      <c r="S70" s="40"/>
      <c r="T70" s="41"/>
      <c r="U70" s="40"/>
      <c r="V70" s="41"/>
      <c r="W70" s="34">
        <f t="shared" si="11"/>
        <v>5395.1587656250013</v>
      </c>
      <c r="X70" s="34">
        <f t="shared" si="12"/>
        <v>9763.5353515625011</v>
      </c>
      <c r="Y70" s="73">
        <v>6440.01</v>
      </c>
      <c r="Z70" s="73">
        <v>11654.3798828125</v>
      </c>
      <c r="AA70" s="74"/>
      <c r="AG70" s="42">
        <v>51467.330999999998</v>
      </c>
      <c r="AH70" s="42">
        <f t="shared" si="19"/>
        <v>52000</v>
      </c>
      <c r="AI70" s="15">
        <v>24640.123046875</v>
      </c>
      <c r="AJ70" s="15">
        <v>8607.2333984375</v>
      </c>
      <c r="AK70" s="15">
        <v>10</v>
      </c>
      <c r="AL70" s="15">
        <v>20</v>
      </c>
      <c r="AM70" s="15">
        <v>0</v>
      </c>
      <c r="AN70" s="15">
        <v>40</v>
      </c>
      <c r="AO70" s="15">
        <v>30</v>
      </c>
      <c r="AP70" s="15">
        <v>0</v>
      </c>
      <c r="AQ70" s="43">
        <f t="shared" si="14"/>
        <v>2931.1464609375007</v>
      </c>
      <c r="AR70" s="43">
        <f t="shared" si="15"/>
        <v>9763.5353515625011</v>
      </c>
    </row>
    <row r="71" spans="1:44" ht="20.100000000000001" customHeight="1">
      <c r="A71" s="33" t="str">
        <f t="shared" si="2"/>
        <v>K52+000.000～K53+000.000</v>
      </c>
      <c r="B71" s="34">
        <f t="shared" si="3"/>
        <v>1000</v>
      </c>
      <c r="C71" s="34">
        <f t="shared" si="4"/>
        <v>18699.7421875</v>
      </c>
      <c r="D71" s="34">
        <f t="shared" si="23"/>
        <v>1869.9742187500001</v>
      </c>
      <c r="E71" s="34">
        <f t="shared" si="23"/>
        <v>3739.9484375000002</v>
      </c>
      <c r="F71" s="34">
        <f t="shared" si="23"/>
        <v>0</v>
      </c>
      <c r="G71" s="34">
        <f t="shared" si="23"/>
        <v>7479.8968750000004</v>
      </c>
      <c r="H71" s="34">
        <f t="shared" si="22"/>
        <v>5609.9226562499998</v>
      </c>
      <c r="I71" s="34">
        <f t="shared" si="22"/>
        <v>0</v>
      </c>
      <c r="J71" s="34">
        <f t="shared" si="5"/>
        <v>6536.64697265625</v>
      </c>
      <c r="K71" s="34">
        <f t="shared" si="6"/>
        <v>1307.32939453125</v>
      </c>
      <c r="L71" s="34">
        <f t="shared" si="7"/>
        <v>5229.3175781250002</v>
      </c>
      <c r="M71" s="34">
        <f t="shared" si="8"/>
        <v>74.517775488281259</v>
      </c>
      <c r="N71" s="34">
        <f t="shared" si="9"/>
        <v>298.07110195312504</v>
      </c>
      <c r="O71" s="34">
        <f t="shared" si="1"/>
        <v>1441.9843221679687</v>
      </c>
      <c r="P71" s="34">
        <f t="shared" si="17"/>
        <v>5385.9697438349176</v>
      </c>
      <c r="Q71" s="34">
        <v>905</v>
      </c>
      <c r="R71" s="34">
        <v>1804</v>
      </c>
      <c r="S71" s="40"/>
      <c r="T71" s="41"/>
      <c r="U71" s="40"/>
      <c r="V71" s="41"/>
      <c r="W71" s="34">
        <f t="shared" si="11"/>
        <v>4093.4205585937502</v>
      </c>
      <c r="X71" s="34">
        <f t="shared" si="12"/>
        <v>7405.7786854619571</v>
      </c>
      <c r="Y71" s="73">
        <v>8023.1</v>
      </c>
      <c r="Z71" s="73">
        <v>14515.330078125</v>
      </c>
      <c r="AA71" s="74"/>
      <c r="AG71" s="42">
        <v>52000</v>
      </c>
      <c r="AH71" s="42">
        <f t="shared" si="19"/>
        <v>53000</v>
      </c>
      <c r="AI71" s="15">
        <v>18699.7421875</v>
      </c>
      <c r="AJ71" s="15">
        <v>6536.64697265625</v>
      </c>
      <c r="AK71" s="15">
        <v>10</v>
      </c>
      <c r="AL71" s="15">
        <v>20</v>
      </c>
      <c r="AM71" s="15">
        <v>0</v>
      </c>
      <c r="AN71" s="15">
        <v>40</v>
      </c>
      <c r="AO71" s="15">
        <v>30</v>
      </c>
      <c r="AP71" s="15">
        <v>0</v>
      </c>
      <c r="AQ71" s="43">
        <f t="shared" si="14"/>
        <v>2223.4463398437501</v>
      </c>
      <c r="AR71" s="43">
        <f t="shared" si="15"/>
        <v>7405.7786854619571</v>
      </c>
    </row>
    <row r="72" spans="1:44" s="48" customFormat="1" ht="20.100000000000001" customHeight="1">
      <c r="A72" s="33" t="str">
        <f t="shared" si="2"/>
        <v>K53+000.000～K53+492.406</v>
      </c>
      <c r="B72" s="44">
        <f t="shared" si="3"/>
        <v>492.40600000000268</v>
      </c>
      <c r="C72" s="44">
        <f t="shared" si="4"/>
        <v>79320.5859375</v>
      </c>
      <c r="D72" s="44">
        <f t="shared" si="23"/>
        <v>7932.05859375</v>
      </c>
      <c r="E72" s="44">
        <f t="shared" si="23"/>
        <v>15864.1171875</v>
      </c>
      <c r="F72" s="44">
        <f t="shared" si="23"/>
        <v>0</v>
      </c>
      <c r="G72" s="44">
        <f t="shared" si="23"/>
        <v>31728.234375</v>
      </c>
      <c r="H72" s="44">
        <f t="shared" si="22"/>
        <v>23796.17578125</v>
      </c>
      <c r="I72" s="44">
        <f t="shared" si="22"/>
        <v>0</v>
      </c>
      <c r="J72" s="44">
        <f t="shared" si="5"/>
        <v>603.795654296875</v>
      </c>
      <c r="K72" s="44">
        <f t="shared" si="6"/>
        <v>120.75913085937501</v>
      </c>
      <c r="L72" s="44">
        <f t="shared" si="7"/>
        <v>483.03652343750002</v>
      </c>
      <c r="M72" s="44">
        <f t="shared" si="8"/>
        <v>6.8832704589843763</v>
      </c>
      <c r="N72" s="44">
        <f t="shared" si="9"/>
        <v>27.533081835937505</v>
      </c>
      <c r="O72" s="44">
        <f>K72*1.16-M72-T72</f>
        <v>3585.0231655761718</v>
      </c>
      <c r="P72" s="44">
        <f>L72/0.92-N72-U72</f>
        <v>13479.907180402939</v>
      </c>
      <c r="Q72" s="34">
        <v>835</v>
      </c>
      <c r="R72" s="34">
        <v>2345</v>
      </c>
      <c r="S72" s="40"/>
      <c r="T72" s="41">
        <v>-3451.8258442382812</v>
      </c>
      <c r="U72" s="40">
        <v>-12982.400562850289</v>
      </c>
      <c r="V72" s="41"/>
      <c r="W72" s="34">
        <f t="shared" si="11"/>
        <v>20204.269345214845</v>
      </c>
      <c r="X72" s="44">
        <f t="shared" si="12"/>
        <v>42016.969894011127</v>
      </c>
      <c r="Y72" s="70">
        <v>51457.120000000003</v>
      </c>
      <c r="Z72" s="70">
        <v>107010.65625</v>
      </c>
      <c r="AA72" s="71"/>
      <c r="AG72" s="47">
        <v>53000</v>
      </c>
      <c r="AH72" s="47">
        <f t="shared" si="19"/>
        <v>53492.406000000003</v>
      </c>
      <c r="AI72" s="48">
        <v>79320.5859375</v>
      </c>
      <c r="AJ72" s="48">
        <v>603.795654296875</v>
      </c>
      <c r="AK72" s="48">
        <v>10</v>
      </c>
      <c r="AL72" s="48">
        <v>20</v>
      </c>
      <c r="AM72" s="48">
        <v>0</v>
      </c>
      <c r="AN72" s="48">
        <v>40</v>
      </c>
      <c r="AO72" s="48">
        <v>30</v>
      </c>
      <c r="AP72" s="48">
        <v>0</v>
      </c>
      <c r="AQ72" s="49">
        <f t="shared" si="14"/>
        <v>12272.210751464845</v>
      </c>
      <c r="AR72" s="49">
        <f t="shared" si="15"/>
        <v>42016.969894011127</v>
      </c>
    </row>
    <row r="73" spans="1:44" s="48" customFormat="1" ht="20.100000000000001" customHeight="1">
      <c r="A73" s="33" t="str">
        <f t="shared" ref="A73:A75" si="24">TEXT(ROUND(AG73,3),"K0+000.000")&amp;"～"&amp;TEXT(ROUND(AH73,3),"K0+000.000")</f>
        <v>K53+492.406～K54+000.000</v>
      </c>
      <c r="B73" s="44">
        <f t="shared" ref="B73:B75" si="25">AH73-AG73</f>
        <v>507.59399999999732</v>
      </c>
      <c r="C73" s="44">
        <f t="shared" ref="C73:C75" si="26">AI73</f>
        <v>38026.05859375</v>
      </c>
      <c r="D73" s="44">
        <f t="shared" si="23"/>
        <v>3802.6058593749999</v>
      </c>
      <c r="E73" s="44">
        <f t="shared" si="23"/>
        <v>7605.2117187499998</v>
      </c>
      <c r="F73" s="44">
        <f t="shared" si="23"/>
        <v>0</v>
      </c>
      <c r="G73" s="44">
        <f t="shared" si="23"/>
        <v>15210.4234375</v>
      </c>
      <c r="H73" s="44">
        <f t="shared" si="22"/>
        <v>11407.817578124999</v>
      </c>
      <c r="I73" s="44">
        <f t="shared" si="22"/>
        <v>0</v>
      </c>
      <c r="J73" s="44">
        <f t="shared" ref="J73:J75" si="27">AJ73</f>
        <v>18464.18359375</v>
      </c>
      <c r="K73" s="44">
        <f t="shared" ref="K73:K75" si="28">J73*0.2</f>
        <v>3692.8367187500003</v>
      </c>
      <c r="L73" s="44">
        <f t="shared" ref="L73:L75" si="29">J73-K73</f>
        <v>14771.346874999999</v>
      </c>
      <c r="M73" s="44">
        <f t="shared" ref="M73:M75" si="30">J73*5.7/100*0.2</f>
        <v>210.49169296874999</v>
      </c>
      <c r="N73" s="44">
        <f t="shared" ref="N73:N74" si="31">J73*5.7/100*0.8</f>
        <v>841.96677187499995</v>
      </c>
      <c r="O73" s="44">
        <f>K73*1.16-M73-T73</f>
        <v>5433.4796976562502</v>
      </c>
      <c r="P73" s="44">
        <f>L73/0.92-N73-U73</f>
        <v>21816.774141847818</v>
      </c>
      <c r="Q73" s="34">
        <v>1081</v>
      </c>
      <c r="R73" s="34">
        <v>6937</v>
      </c>
      <c r="S73" s="40"/>
      <c r="T73" s="41">
        <v>-1360.2807968750003</v>
      </c>
      <c r="U73" s="40">
        <v>-6602.9290930706484</v>
      </c>
      <c r="V73" s="41"/>
      <c r="W73" s="34">
        <f t="shared" ref="W73:W75" si="32">AQ73+D73</f>
        <v>5763.8461874999994</v>
      </c>
      <c r="X73" s="44">
        <f t="shared" ref="X73:X75" si="33">G73+H73+I73-N73-P73</f>
        <v>3959.5001019021802</v>
      </c>
      <c r="Y73" s="70">
        <v>13753.71</v>
      </c>
      <c r="Z73" s="70">
        <v>9448.169921875</v>
      </c>
      <c r="AA73" s="71"/>
      <c r="AG73" s="47">
        <v>53492.406000000003</v>
      </c>
      <c r="AH73" s="47">
        <f t="shared" si="19"/>
        <v>54000</v>
      </c>
      <c r="AI73" s="48">
        <v>38026.05859375</v>
      </c>
      <c r="AJ73" s="48">
        <v>18464.18359375</v>
      </c>
      <c r="AK73" s="48">
        <v>10</v>
      </c>
      <c r="AL73" s="48">
        <v>20</v>
      </c>
      <c r="AM73" s="48">
        <v>0</v>
      </c>
      <c r="AN73" s="48">
        <v>40</v>
      </c>
      <c r="AO73" s="48">
        <v>30</v>
      </c>
      <c r="AP73" s="48">
        <v>0</v>
      </c>
      <c r="AQ73" s="49">
        <f t="shared" ref="AQ73:AQ75" si="34">E73+F73-M73-O73</f>
        <v>1961.2403281249999</v>
      </c>
      <c r="AR73" s="49">
        <f t="shared" ref="AR73:AR75" si="35">G73+H73+I73-N73-P73</f>
        <v>3959.5001019021802</v>
      </c>
    </row>
    <row r="74" spans="1:44" s="48" customFormat="1" ht="20.100000000000001" customHeight="1">
      <c r="A74" s="33" t="str">
        <f t="shared" si="24"/>
        <v>K54+000.000～K55+000.000</v>
      </c>
      <c r="B74" s="44">
        <f t="shared" si="25"/>
        <v>1000</v>
      </c>
      <c r="C74" s="44">
        <f t="shared" si="26"/>
        <v>30315.76171875</v>
      </c>
      <c r="D74" s="44">
        <f t="shared" si="23"/>
        <v>3031.576171875</v>
      </c>
      <c r="E74" s="44">
        <f t="shared" si="23"/>
        <v>6063.15234375</v>
      </c>
      <c r="F74" s="44">
        <f t="shared" si="23"/>
        <v>0</v>
      </c>
      <c r="G74" s="44">
        <f t="shared" si="23"/>
        <v>12126.3046875</v>
      </c>
      <c r="H74" s="44">
        <f t="shared" si="22"/>
        <v>9094.728515625</v>
      </c>
      <c r="I74" s="44">
        <f t="shared" si="22"/>
        <v>0</v>
      </c>
      <c r="J74" s="44">
        <f t="shared" si="27"/>
        <v>31997.556640625</v>
      </c>
      <c r="K74" s="44">
        <f t="shared" si="28"/>
        <v>6399.5113281250005</v>
      </c>
      <c r="L74" s="44">
        <f t="shared" si="29"/>
        <v>25598.045312499999</v>
      </c>
      <c r="M74" s="44">
        <f t="shared" si="30"/>
        <v>364.77214570312503</v>
      </c>
      <c r="N74" s="44">
        <f t="shared" si="31"/>
        <v>1459.0885828125001</v>
      </c>
      <c r="O74" s="44">
        <f>E74+F74-M74</f>
        <v>5698.3801980468752</v>
      </c>
      <c r="P74" s="44">
        <f>G74+H74+I74-N74</f>
        <v>19761.944620312501</v>
      </c>
      <c r="Q74" s="34">
        <v>2108</v>
      </c>
      <c r="R74" s="34">
        <v>12845</v>
      </c>
      <c r="S74" s="40"/>
      <c r="T74" s="41"/>
      <c r="U74" s="40"/>
      <c r="V74" s="41"/>
      <c r="W74" s="34">
        <f t="shared" si="32"/>
        <v>3031.576171875</v>
      </c>
      <c r="X74" s="44">
        <f t="shared" si="33"/>
        <v>0</v>
      </c>
      <c r="Y74" s="70">
        <v>9519.15</v>
      </c>
      <c r="Z74" s="70">
        <v>0</v>
      </c>
      <c r="AA74" s="71"/>
      <c r="AG74" s="47">
        <v>54000</v>
      </c>
      <c r="AH74" s="47">
        <f t="shared" si="19"/>
        <v>55000</v>
      </c>
      <c r="AI74" s="48">
        <v>30315.76171875</v>
      </c>
      <c r="AJ74" s="48">
        <v>31997.556640625</v>
      </c>
      <c r="AK74" s="48">
        <v>10</v>
      </c>
      <c r="AL74" s="48">
        <v>20</v>
      </c>
      <c r="AM74" s="48">
        <v>0</v>
      </c>
      <c r="AN74" s="48">
        <v>40</v>
      </c>
      <c r="AO74" s="48">
        <v>30</v>
      </c>
      <c r="AP74" s="48">
        <v>0</v>
      </c>
      <c r="AQ74" s="49">
        <f t="shared" si="34"/>
        <v>0</v>
      </c>
      <c r="AR74" s="49">
        <f t="shared" si="35"/>
        <v>0</v>
      </c>
    </row>
    <row r="75" spans="1:44" s="48" customFormat="1" ht="20.100000000000001" customHeight="1">
      <c r="A75" s="33" t="str">
        <f t="shared" si="24"/>
        <v>K55+000.000～K55+119.661</v>
      </c>
      <c r="B75" s="44">
        <f t="shared" si="25"/>
        <v>119.66100000000006</v>
      </c>
      <c r="C75" s="44">
        <f t="shared" si="26"/>
        <v>897.17718505859375</v>
      </c>
      <c r="D75" s="44">
        <f t="shared" si="23"/>
        <v>89.717718505859381</v>
      </c>
      <c r="E75" s="44">
        <f t="shared" si="23"/>
        <v>179.43543701171876</v>
      </c>
      <c r="F75" s="44">
        <f t="shared" si="23"/>
        <v>0</v>
      </c>
      <c r="G75" s="44">
        <f t="shared" si="23"/>
        <v>358.87087402343752</v>
      </c>
      <c r="H75" s="44">
        <f t="shared" si="22"/>
        <v>269.15315551757811</v>
      </c>
      <c r="I75" s="44">
        <f t="shared" si="22"/>
        <v>0</v>
      </c>
      <c r="J75" s="44">
        <f t="shared" si="27"/>
        <v>15651.98828125</v>
      </c>
      <c r="K75" s="44">
        <f t="shared" si="28"/>
        <v>3130.3976562500002</v>
      </c>
      <c r="L75" s="44">
        <f t="shared" si="29"/>
        <v>12521.590625000001</v>
      </c>
      <c r="M75" s="44">
        <f t="shared" si="30"/>
        <v>178.43266640625001</v>
      </c>
      <c r="N75" s="44">
        <f>J75*5.7/100*0.7</f>
        <v>624.514332421875</v>
      </c>
      <c r="O75" s="44">
        <f>E75+F75-M75</f>
        <v>1.0027706054687542</v>
      </c>
      <c r="P75" s="44">
        <f>G75+H75+I75-N75</f>
        <v>3.5096971191405828</v>
      </c>
      <c r="Q75" s="34">
        <v>0</v>
      </c>
      <c r="R75" s="34">
        <v>0</v>
      </c>
      <c r="S75" s="40"/>
      <c r="T75" s="41"/>
      <c r="U75" s="40"/>
      <c r="V75" s="41"/>
      <c r="W75" s="34">
        <f t="shared" si="32"/>
        <v>89.717718505859381</v>
      </c>
      <c r="X75" s="44">
        <f t="shared" si="33"/>
        <v>0</v>
      </c>
      <c r="Y75" s="70">
        <v>331.94</v>
      </c>
      <c r="Z75" s="70">
        <v>0</v>
      </c>
      <c r="AA75" s="71"/>
      <c r="AG75" s="47">
        <v>55000</v>
      </c>
      <c r="AH75" s="47">
        <v>55119.661</v>
      </c>
      <c r="AI75" s="48">
        <v>897.17718505859375</v>
      </c>
      <c r="AJ75" s="48">
        <v>15651.98828125</v>
      </c>
      <c r="AK75" s="48">
        <v>10</v>
      </c>
      <c r="AL75" s="48">
        <v>20</v>
      </c>
      <c r="AM75" s="48">
        <v>0</v>
      </c>
      <c r="AN75" s="48">
        <v>40</v>
      </c>
      <c r="AO75" s="48">
        <v>30</v>
      </c>
      <c r="AP75" s="48">
        <v>0</v>
      </c>
      <c r="AQ75" s="49">
        <f t="shared" si="34"/>
        <v>0</v>
      </c>
      <c r="AR75" s="49">
        <f t="shared" si="35"/>
        <v>0</v>
      </c>
    </row>
    <row r="76" spans="1:44" ht="20.100000000000001" customHeight="1">
      <c r="A76" s="3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74"/>
    </row>
    <row r="77" spans="1:44" ht="20.100000000000001" customHeight="1">
      <c r="A77" s="3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74"/>
    </row>
    <row r="78" spans="1:44" s="87" customFormat="1" ht="20.100000000000001" customHeight="1">
      <c r="A78" s="84"/>
      <c r="B78" s="85"/>
      <c r="C78" s="85"/>
      <c r="D78" s="85" t="s">
        <v>71</v>
      </c>
      <c r="E78" s="85" t="str">
        <f>"1、主线I类土共计"&amp;INT(D87)&amp;"立方米，弃入相应的弃土场内，运量已计入本表。"</f>
        <v>1、主线I类土共计309993立方米，弃入相应的弃土场内，运量已计入本表。</v>
      </c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6"/>
    </row>
    <row r="79" spans="1:44" s="87" customFormat="1" ht="20.100000000000001" customHeight="1">
      <c r="A79" s="84"/>
      <c r="B79" s="85"/>
      <c r="C79" s="85"/>
      <c r="D79" s="85"/>
      <c r="E79" s="85" t="str">
        <f>"2、挖方中光面爆破石方数量为"&amp;INT((H87+I87)*0.1)&amp;"立方米。"</f>
        <v>2、挖方中光面爆破石方数量为100436立方米。</v>
      </c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6"/>
    </row>
    <row r="80" spans="1:44" s="87" customFormat="1" ht="20.100000000000001" customHeight="1">
      <c r="A80" s="84"/>
      <c r="B80" s="85"/>
      <c r="C80" s="85"/>
      <c r="D80" s="85"/>
      <c r="E80" s="85" t="str">
        <f>"3、全线隧道渣共计"&amp;INT(G34+H34+I34)&amp;"立方米，其中"&amp;INT(O34+P34)&amp;"立方米用于主线路基填筑，"&amp;INT(W34+X34)&amp;"立方米调至弃土场，运量已计入本表。"</f>
        <v>3、全线隧道渣共计74385立方米，其中6991立方米用于主线路基填筑，67393立方米调至弃土场，运量已计入本表。</v>
      </c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6"/>
    </row>
    <row r="81" spans="1:34" ht="20.100000000000001" customHeight="1">
      <c r="A81" s="3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74"/>
    </row>
    <row r="82" spans="1:34" ht="20.100000000000001" customHeight="1">
      <c r="A82" s="3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74"/>
    </row>
    <row r="83" spans="1:34" ht="20.100000000000001" customHeight="1">
      <c r="A83" s="3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74"/>
    </row>
    <row r="84" spans="1:34" ht="20.100000000000001" customHeight="1">
      <c r="A84" s="3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74"/>
    </row>
    <row r="85" spans="1:34" ht="20.100000000000001" customHeight="1">
      <c r="A85" s="3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74"/>
    </row>
    <row r="86" spans="1:34" ht="20.100000000000001" customHeight="1">
      <c r="A86" s="3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74"/>
    </row>
    <row r="87" spans="1:34" ht="20.100000000000001" customHeight="1">
      <c r="A87" s="33" t="s">
        <v>72</v>
      </c>
      <c r="B87" s="34">
        <f>SUM(B8:B86)</f>
        <v>55119.661</v>
      </c>
      <c r="C87" s="34">
        <f t="shared" ref="C87:Z87" si="36">SUM(C8:C86)</f>
        <v>3099936.3291549683</v>
      </c>
      <c r="D87" s="34">
        <f t="shared" si="36"/>
        <v>309993.63291549688</v>
      </c>
      <c r="E87" s="34">
        <f t="shared" si="36"/>
        <v>619987.26583099377</v>
      </c>
      <c r="F87" s="34">
        <f t="shared" si="36"/>
        <v>0</v>
      </c>
      <c r="G87" s="34">
        <f t="shared" si="36"/>
        <v>1239974.5316619875</v>
      </c>
      <c r="H87" s="34">
        <f t="shared" si="36"/>
        <v>1004365.8987464904</v>
      </c>
      <c r="I87" s="34">
        <f t="shared" si="36"/>
        <v>0</v>
      </c>
      <c r="J87" s="34">
        <f t="shared" si="36"/>
        <v>1375597.1755828857</v>
      </c>
      <c r="K87" s="34">
        <f t="shared" si="36"/>
        <v>275119.4351165772</v>
      </c>
      <c r="L87" s="34">
        <f t="shared" si="36"/>
        <v>1100477.7404663088</v>
      </c>
      <c r="M87" s="34">
        <f t="shared" si="36"/>
        <v>14500.055740744021</v>
      </c>
      <c r="N87" s="34">
        <f t="shared" si="36"/>
        <v>57905.2029195984</v>
      </c>
      <c r="O87" s="34">
        <f t="shared" si="36"/>
        <v>291183.30998536071</v>
      </c>
      <c r="P87" s="34">
        <f t="shared" si="36"/>
        <v>1018794.593572195</v>
      </c>
      <c r="Q87" s="34">
        <f t="shared" si="36"/>
        <v>146906</v>
      </c>
      <c r="R87" s="34">
        <f t="shared" si="36"/>
        <v>509124</v>
      </c>
      <c r="S87" s="34"/>
      <c r="T87" s="35"/>
      <c r="U87" s="34"/>
      <c r="V87" s="35"/>
      <c r="W87" s="34">
        <f t="shared" si="36"/>
        <v>624297.53302038589</v>
      </c>
      <c r="X87" s="34">
        <f t="shared" si="36"/>
        <v>1167640.6339166842</v>
      </c>
      <c r="Y87" s="34">
        <f t="shared" si="36"/>
        <v>2787986.09</v>
      </c>
      <c r="Z87" s="34">
        <f t="shared" si="36"/>
        <v>5110881.3842773437</v>
      </c>
      <c r="AA87" s="74"/>
      <c r="AG87" s="42"/>
      <c r="AH87" s="42"/>
    </row>
    <row r="88" spans="1:34" ht="20.100000000000001" customHeight="1" thickBot="1">
      <c r="A88" s="77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9"/>
    </row>
    <row r="89" spans="1:34" ht="20.100000000000001" customHeight="1">
      <c r="A89" s="90" t="s">
        <v>73</v>
      </c>
      <c r="B89" s="91">
        <f>[1]!sumAtoB($AG89,$AH89,$AG$8:$AG$75,$AH$8:$AH$75)</f>
        <v>0</v>
      </c>
      <c r="C89" s="91">
        <f>[1]!sumAtoB($AG89,$AH89,$AG$8:$AG$75,$AH$8:$AH$75)</f>
        <v>0</v>
      </c>
      <c r="D89" s="91">
        <f>[1]!sumAtoB($AG89,$AH89,$AG$8:$AG$75,$AH$8:$AH$75)</f>
        <v>358.86149999999981</v>
      </c>
      <c r="E89" s="91">
        <f>[1]!sumAtoB($AG89,$AH89,$AG$8:$AG$75,$AH$8:$AH$75)</f>
        <v>40.54485183096611</v>
      </c>
      <c r="F89" s="91">
        <f>[1]!sumAtoB($AG89,$AH89,$AG$8:$AG$75,$AH$8:$AH$75)</f>
        <v>0</v>
      </c>
      <c r="G89" s="91">
        <f>[1]!sumAtoB($AG89,$AH89,$AG$8:$AG$75,$AH$8:$AH$75)</f>
        <v>0</v>
      </c>
      <c r="H89" s="91">
        <f>[1]!sumAtoB($AG89,$AH89,$AG$8:$AG$75,$AH$8:$AH$75)</f>
        <v>38.699999999999996</v>
      </c>
      <c r="I89" s="91">
        <f>[1]!sumAtoB($AG89,$AH89,$AG$8:$AG$75,$AH$8:$AH$75)</f>
        <v>40.54485183096611</v>
      </c>
      <c r="J89" s="91">
        <f>[1]!sumAtoB($AG89,$AH89,$AG$8:$AG$75,$AH$8:$AH$75)</f>
        <v>0</v>
      </c>
      <c r="K89" s="91">
        <f>[1]!sumAtoB($AG89,$AH89,$AG$8:$AG$75,$AH$8:$AH$75)</f>
        <v>5273</v>
      </c>
      <c r="L89" s="91">
        <f>[1]!sumAtoB($AG89,$AH89,$AG$8:$AG$75,$AH$8:$AH$75)</f>
        <v>499.28288426509351</v>
      </c>
      <c r="M89" s="91">
        <f>[1]!sumAtoB($AG89,$AH89,$AG$8:$AG$75,$AH$8:$AH$75)</f>
        <v>499.28288426509351</v>
      </c>
      <c r="N89" s="91">
        <f>[1]!sumAtoB($AG89,$AH89,$AG$8:$AG$75,$AH$8:$AH$75)</f>
        <v>2962.6925497500001</v>
      </c>
      <c r="O89" s="91">
        <f>[1]!sumAtoB($AG89,$AH89,$AG$8:$AG$75,$AH$8:$AH$75)</f>
        <v>2962.6925497500001</v>
      </c>
      <c r="P89" s="91">
        <f>[1]!sumAtoB($AG89,$AH89,$AG$8:$AG$75,$AH$8:$AH$75)</f>
        <v>4.8</v>
      </c>
      <c r="Q89" s="91">
        <f>[1]!sumAtoB($AG89,$AH89,$AG$8:$AG$75,$AH$8:$AH$75)</f>
        <v>0</v>
      </c>
      <c r="R89" s="91">
        <f>[1]!sumAtoB($AG89,$AH89,$AG$8:$AG$75,$AH$8:$AH$75)</f>
        <v>7712.6689999999999</v>
      </c>
      <c r="S89" s="91"/>
      <c r="T89" s="91"/>
      <c r="U89" s="91"/>
      <c r="V89" s="91"/>
      <c r="W89" s="91">
        <f>[1]!sumAtoB($AG89,$AH89,$AG$8:$AG$75,$AH$8:$AH$75)</f>
        <v>5273</v>
      </c>
      <c r="X89" s="91">
        <f>[1]!sumAtoB($AG89,$AH89,$AG$8:$AG$75,$AH$8:$AH$75)</f>
        <v>624.10360533136668</v>
      </c>
      <c r="Y89" s="91">
        <f>[1]!sumAtoB($AG89,$AH89,$AG$8:$AG$75,$AH$8:$AH$75)</f>
        <v>0</v>
      </c>
      <c r="Z89" s="91">
        <f>[1]!sumAtoB($AG89,$AH89,$AG$8:$AG$75,$AH$8:$AH$75)</f>
        <v>0</v>
      </c>
      <c r="AA89" s="91"/>
      <c r="AG89" s="15">
        <v>7087.13</v>
      </c>
      <c r="AH89" s="15">
        <v>11110.290999999999</v>
      </c>
    </row>
    <row r="90" spans="1:34" ht="20.100000000000001" customHeight="1">
      <c r="A90" s="92" t="s">
        <v>29</v>
      </c>
      <c r="B90" s="93">
        <f>[1]!sumAtoB($AG90,$AH90,$AG$8:$AG$75,$AH$8:$AH$75)</f>
        <v>0</v>
      </c>
      <c r="C90" s="93">
        <f>[1]!sumAtoB($AG90,$AH90,$AG$8:$AG$75,$AH$8:$AH$75)</f>
        <v>0</v>
      </c>
      <c r="D90" s="93">
        <f>[1]!sumAtoB($AG90,$AH90,$AG$8:$AG$75,$AH$8:$AH$75)</f>
        <v>312.49999999999977</v>
      </c>
      <c r="E90" s="93">
        <f>[1]!sumAtoB($AG90,$AH90,$AG$8:$AG$75,$AH$8:$AH$75)</f>
        <v>25.425430664898869</v>
      </c>
      <c r="F90" s="93">
        <f>[1]!sumAtoB($AG90,$AH90,$AG$8:$AG$75,$AH$8:$AH$75)</f>
        <v>0</v>
      </c>
      <c r="G90" s="93">
        <f>[1]!sumAtoB($AG90,$AH90,$AG$8:$AG$75,$AH$8:$AH$75)</f>
        <v>0</v>
      </c>
      <c r="H90" s="93">
        <f>[1]!sumAtoB($AG90,$AH90,$AG$8:$AG$75,$AH$8:$AH$75)</f>
        <v>17.600000000000001</v>
      </c>
      <c r="I90" s="93">
        <f>[1]!sumAtoB($AG90,$AH90,$AG$8:$AG$75,$AH$8:$AH$75)</f>
        <v>22.025430664898849</v>
      </c>
      <c r="J90" s="93">
        <f>[1]!sumAtoB($AG90,$AH90,$AG$8:$AG$75,$AH$8:$AH$75)</f>
        <v>0</v>
      </c>
      <c r="K90" s="93">
        <f>[1]!sumAtoB($AG90,$AH90,$AG$8:$AG$75,$AH$8:$AH$75)</f>
        <v>0</v>
      </c>
      <c r="L90" s="93">
        <f>[1]!sumAtoB($AG90,$AH90,$AG$8:$AG$75,$AH$8:$AH$75)</f>
        <v>1681.735257980489</v>
      </c>
      <c r="M90" s="93">
        <f>[1]!sumAtoB($AG90,$AH90,$AG$8:$AG$75,$AH$8:$AH$75)</f>
        <v>1681.735257980489</v>
      </c>
      <c r="N90" s="93">
        <f>[1]!sumAtoB($AG90,$AH90,$AG$8:$AG$75,$AH$8:$AH$75)</f>
        <v>0</v>
      </c>
      <c r="O90" s="93">
        <f>[1]!sumAtoB($AG90,$AH90,$AG$8:$AG$75,$AH$8:$AH$75)</f>
        <v>0</v>
      </c>
      <c r="P90" s="93">
        <f>[1]!sumAtoB($AG90,$AH90,$AG$8:$AG$75,$AH$8:$AH$75)</f>
        <v>1.4</v>
      </c>
      <c r="Q90" s="91">
        <f>[1]!sumAtoB($AG90,$AH90,$AG$8:$AG$75,$AH$8:$AH$75)</f>
        <v>0</v>
      </c>
      <c r="R90" s="91">
        <f>[1]!sumAtoB($AG90,$AH90,$AG$8:$AG$75,$AH$8:$AH$75)</f>
        <v>17042.439999999999</v>
      </c>
      <c r="S90" s="93"/>
      <c r="T90" s="93"/>
      <c r="U90" s="93"/>
      <c r="V90" s="93"/>
      <c r="W90" s="93">
        <f>[1]!sumAtoB($AG90,$AH90,$AG$8:$AG$75,$AH$8:$AH$75)</f>
        <v>0</v>
      </c>
      <c r="X90" s="93">
        <f>[1]!sumAtoB($AG90,$AH90,$AG$8:$AG$75,$AH$8:$AH$75)</f>
        <v>2102.1690724756108</v>
      </c>
      <c r="Y90" s="93">
        <f>[1]!sumAtoB($AG90,$AH90,$AG$8:$AG$75,$AH$8:$AH$75)</f>
        <v>0</v>
      </c>
      <c r="Z90" s="93">
        <f>[1]!sumAtoB($AG90,$AH90,$AG$8:$AG$75,$AH$8:$AH$75)</f>
        <v>0</v>
      </c>
      <c r="AA90" s="93"/>
      <c r="AG90" s="15">
        <v>22183.681</v>
      </c>
      <c r="AH90" s="15">
        <v>24577.013999999999</v>
      </c>
    </row>
    <row r="91" spans="1:34" ht="20.100000000000001" customHeight="1">
      <c r="A91" s="92" t="s">
        <v>30</v>
      </c>
      <c r="B91" s="93">
        <f>[1]!sumAtoB($AG91,$AH91,$AG$8:$AG$75,$AH$8:$AH$75)</f>
        <v>0</v>
      </c>
      <c r="C91" s="93">
        <f>[1]!sumAtoB($AG91,$AH91,$AG$8:$AG$75,$AH$8:$AH$75)</f>
        <v>0</v>
      </c>
      <c r="D91" s="93">
        <f>[1]!sumAtoB($AG91,$AH91,$AG$8:$AG$75,$AH$8:$AH$75)</f>
        <v>674.8524999999986</v>
      </c>
      <c r="E91" s="93">
        <f>[1]!sumAtoB($AG91,$AH91,$AG$8:$AG$75,$AH$8:$AH$75)</f>
        <v>33.295365210085862</v>
      </c>
      <c r="F91" s="93">
        <f>[1]!sumAtoB($AG91,$AH91,$AG$8:$AG$75,$AH$8:$AH$75)</f>
        <v>0</v>
      </c>
      <c r="G91" s="93">
        <f>[1]!sumAtoB($AG91,$AH91,$AG$8:$AG$75,$AH$8:$AH$75)</f>
        <v>0</v>
      </c>
      <c r="H91" s="93">
        <f>[1]!sumAtoB($AG91,$AH91,$AG$8:$AG$75,$AH$8:$AH$75)</f>
        <v>0</v>
      </c>
      <c r="I91" s="93">
        <f>[1]!sumAtoB($AG91,$AH91,$AG$8:$AG$75,$AH$8:$AH$75)</f>
        <v>0</v>
      </c>
      <c r="J91" s="93">
        <f>[1]!sumAtoB($AG91,$AH91,$AG$8:$AG$75,$AH$8:$AH$75)</f>
        <v>0</v>
      </c>
      <c r="K91" s="93">
        <f>[1]!sumAtoB($AG91,$AH91,$AG$8:$AG$75,$AH$8:$AH$75)</f>
        <v>900</v>
      </c>
      <c r="L91" s="93">
        <f>[1]!sumAtoB($AG91,$AH91,$AG$8:$AG$75,$AH$8:$AH$75)</f>
        <v>2548.5933389492188</v>
      </c>
      <c r="M91" s="93">
        <f>[1]!sumAtoB($AG91,$AH91,$AG$8:$AG$75,$AH$8:$AH$75)</f>
        <v>2548.5933389492188</v>
      </c>
      <c r="N91" s="93">
        <f>[1]!sumAtoB($AG91,$AH91,$AG$8:$AG$75,$AH$8:$AH$75)</f>
        <v>5179.0919743999939</v>
      </c>
      <c r="O91" s="93">
        <f>[1]!sumAtoB($AG91,$AH91,$AG$8:$AG$75,$AH$8:$AH$75)</f>
        <v>5179.0919743999939</v>
      </c>
      <c r="P91" s="93">
        <f>[1]!sumAtoB($AG91,$AH91,$AG$8:$AG$75,$AH$8:$AH$75)</f>
        <v>0</v>
      </c>
      <c r="Q91" s="91">
        <f>[1]!sumAtoB($AG91,$AH91,$AG$8:$AG$75,$AH$8:$AH$75)</f>
        <v>0</v>
      </c>
      <c r="R91" s="91">
        <f>[1]!sumAtoB($AG91,$AH91,$AG$8:$AG$75,$AH$8:$AH$75)</f>
        <v>21346.878000000001</v>
      </c>
      <c r="S91" s="93"/>
      <c r="T91" s="93"/>
      <c r="U91" s="93"/>
      <c r="V91" s="93"/>
      <c r="W91" s="93">
        <f>[1]!sumAtoB($AG91,$AH91,$AG$8:$AG$75,$AH$8:$AH$75)</f>
        <v>900</v>
      </c>
      <c r="X91" s="93">
        <f>[1]!sumAtoB($AG91,$AH91,$AG$8:$AG$75,$AH$8:$AH$75)</f>
        <v>3185.741673686523</v>
      </c>
      <c r="Y91" s="93">
        <f>[1]!sumAtoB($AG91,$AH91,$AG$8:$AG$75,$AH$8:$AH$75)</f>
        <v>0</v>
      </c>
      <c r="Z91" s="93">
        <f>[1]!sumAtoB($AG91,$AH91,$AG$8:$AG$75,$AH$8:$AH$75)</f>
        <v>0</v>
      </c>
      <c r="AA91" s="93"/>
      <c r="AG91" s="15">
        <v>26924.61</v>
      </c>
      <c r="AH91" s="15">
        <v>29293.895</v>
      </c>
    </row>
    <row r="92" spans="1:34" ht="20.100000000000001" customHeight="1">
      <c r="A92" s="92" t="s">
        <v>31</v>
      </c>
      <c r="B92" s="93">
        <f>[1]!sumAtoB($AG92,$AH92,$AG$8:$AG$75,$AH$8:$AH$75)</f>
        <v>0</v>
      </c>
      <c r="C92" s="93">
        <f>[1]!sumAtoB($AG92,$AH92,$AG$8:$AG$75,$AH$8:$AH$75)</f>
        <v>0</v>
      </c>
      <c r="D92" s="93">
        <f>[1]!sumAtoB($AG92,$AH92,$AG$8:$AG$75,$AH$8:$AH$75)</f>
        <v>309.47850000000079</v>
      </c>
      <c r="E92" s="93">
        <f>[1]!sumAtoB($AG92,$AH92,$AG$8:$AG$75,$AH$8:$AH$75)</f>
        <v>18.295156716865961</v>
      </c>
      <c r="F92" s="93">
        <f>[1]!sumAtoB($AG92,$AH92,$AG$8:$AG$75,$AH$8:$AH$75)</f>
        <v>0</v>
      </c>
      <c r="G92" s="93">
        <f>[1]!sumAtoB($AG92,$AH92,$AG$8:$AG$75,$AH$8:$AH$75)</f>
        <v>0</v>
      </c>
      <c r="H92" s="93">
        <f>[1]!sumAtoB($AG92,$AH92,$AG$8:$AG$75,$AH$8:$AH$75)</f>
        <v>0</v>
      </c>
      <c r="I92" s="93">
        <f>[1]!sumAtoB($AG92,$AH92,$AG$8:$AG$75,$AH$8:$AH$75)</f>
        <v>0</v>
      </c>
      <c r="J92" s="93">
        <f>[1]!sumAtoB($AG92,$AH92,$AG$8:$AG$75,$AH$8:$AH$75)</f>
        <v>0</v>
      </c>
      <c r="K92" s="93">
        <f>[1]!sumAtoB($AG92,$AH92,$AG$8:$AG$75,$AH$8:$AH$75)</f>
        <v>0</v>
      </c>
      <c r="L92" s="93">
        <f>[1]!sumAtoB($AG92,$AH92,$AG$8:$AG$75,$AH$8:$AH$75)</f>
        <v>2066.3509976652958</v>
      </c>
      <c r="M92" s="93">
        <f>[1]!sumAtoB($AG92,$AH92,$AG$8:$AG$75,$AH$8:$AH$75)</f>
        <v>2066.3509976652958</v>
      </c>
      <c r="N92" s="93">
        <f>[1]!sumAtoB($AG92,$AH92,$AG$8:$AG$75,$AH$8:$AH$75)</f>
        <v>971.247177500009</v>
      </c>
      <c r="O92" s="93">
        <f>[1]!sumAtoB($AG92,$AH92,$AG$8:$AG$75,$AH$8:$AH$75)</f>
        <v>971.247177500009</v>
      </c>
      <c r="P92" s="93">
        <f>[1]!sumAtoB($AG92,$AH92,$AG$8:$AG$75,$AH$8:$AH$75)</f>
        <v>0</v>
      </c>
      <c r="Q92" s="91">
        <f>[1]!sumAtoB($AG92,$AH92,$AG$8:$AG$75,$AH$8:$AH$75)</f>
        <v>0</v>
      </c>
      <c r="R92" s="91">
        <f>[1]!sumAtoB($AG92,$AH92,$AG$8:$AG$75,$AH$8:$AH$75)</f>
        <v>26296.915500000003</v>
      </c>
      <c r="S92" s="93"/>
      <c r="T92" s="93"/>
      <c r="U92" s="93"/>
      <c r="V92" s="93"/>
      <c r="W92" s="93">
        <f>[1]!sumAtoB($AG92,$AH92,$AG$8:$AG$75,$AH$8:$AH$75)</f>
        <v>0</v>
      </c>
      <c r="X92" s="93">
        <f>[1]!sumAtoB($AG92,$AH92,$AG$8:$AG$75,$AH$8:$AH$75)</f>
        <v>2582.938747081625</v>
      </c>
      <c r="Y92" s="93">
        <f>[1]!sumAtoB($AG92,$AH92,$AG$8:$AG$75,$AH$8:$AH$75)</f>
        <v>0</v>
      </c>
      <c r="Z92" s="93">
        <f>[1]!sumAtoB($AG92,$AH92,$AG$8:$AG$75,$AH$8:$AH$75)</f>
        <v>0</v>
      </c>
      <c r="AA92" s="93"/>
      <c r="AG92" s="15">
        <v>41647.86</v>
      </c>
      <c r="AH92" s="15">
        <v>43109.798000000003</v>
      </c>
    </row>
    <row r="93" spans="1:34" ht="20.100000000000001" customHeight="1">
      <c r="A93" s="92" t="s">
        <v>32</v>
      </c>
      <c r="B93" s="93">
        <f>[1]!sumAtoB($AG93,$AH93,$AG$8:$AG$75,$AH$8:$AH$75)</f>
        <v>0</v>
      </c>
      <c r="C93" s="93">
        <f>[1]!sumAtoB($AG93,$AH93,$AG$8:$AG$75,$AH$8:$AH$75)</f>
        <v>0</v>
      </c>
      <c r="D93" s="93">
        <f>[1]!sumAtoB($AG93,$AH93,$AG$8:$AG$75,$AH$8:$AH$75)</f>
        <v>517.16699999999901</v>
      </c>
      <c r="E93" s="93">
        <f>[1]!sumAtoB($AG93,$AH93,$AG$8:$AG$75,$AH$8:$AH$75)</f>
        <v>18.78344467878965</v>
      </c>
      <c r="F93" s="93">
        <f>[1]!sumAtoB($AG93,$AH93,$AG$8:$AG$75,$AH$8:$AH$75)</f>
        <v>0</v>
      </c>
      <c r="G93" s="93">
        <f>[1]!sumAtoB($AG93,$AH93,$AG$8:$AG$75,$AH$8:$AH$75)</f>
        <v>0</v>
      </c>
      <c r="H93" s="93">
        <f>[1]!sumAtoB($AG93,$AH93,$AG$8:$AG$75,$AH$8:$AH$75)</f>
        <v>0</v>
      </c>
      <c r="I93" s="93">
        <f>[1]!sumAtoB($AG93,$AH93,$AG$8:$AG$75,$AH$8:$AH$75)</f>
        <v>0</v>
      </c>
      <c r="J93" s="93">
        <f>[1]!sumAtoB($AG93,$AH93,$AG$8:$AG$75,$AH$8:$AH$75)</f>
        <v>0</v>
      </c>
      <c r="K93" s="93">
        <f>[1]!sumAtoB($AG93,$AH93,$AG$8:$AG$75,$AH$8:$AH$75)</f>
        <v>2012</v>
      </c>
      <c r="L93" s="93">
        <f>[1]!sumAtoB($AG93,$AH93,$AG$8:$AG$75,$AH$8:$AH$75)</f>
        <v>1012.8428242213574</v>
      </c>
      <c r="M93" s="93">
        <f>[1]!sumAtoB($AG93,$AH93,$AG$8:$AG$75,$AH$8:$AH$75)</f>
        <v>1012.8428242213574</v>
      </c>
      <c r="N93" s="93">
        <f>[1]!sumAtoB($AG93,$AH93,$AG$8:$AG$75,$AH$8:$AH$75)</f>
        <v>4220.8506079999952</v>
      </c>
      <c r="O93" s="93">
        <f>[1]!sumAtoB($AG93,$AH93,$AG$8:$AG$75,$AH$8:$AH$75)</f>
        <v>4220.8506079999952</v>
      </c>
      <c r="P93" s="93">
        <f>[1]!sumAtoB($AG93,$AH93,$AG$8:$AG$75,$AH$8:$AH$75)</f>
        <v>0</v>
      </c>
      <c r="Q93" s="91">
        <f>[1]!sumAtoB($AG93,$AH93,$AG$8:$AG$75,$AH$8:$AH$75)</f>
        <v>0</v>
      </c>
      <c r="R93" s="91">
        <f>[1]!sumAtoB($AG93,$AH93,$AG$8:$AG$75,$AH$8:$AH$75)</f>
        <v>34711.521000000001</v>
      </c>
      <c r="S93" s="93"/>
      <c r="T93" s="93"/>
      <c r="U93" s="93"/>
      <c r="V93" s="93"/>
      <c r="W93" s="93">
        <f>[1]!sumAtoB($AG93,$AH93,$AG$8:$AG$75,$AH$8:$AH$75)</f>
        <v>2012</v>
      </c>
      <c r="X93" s="93">
        <f>[1]!sumAtoB($AG93,$AH93,$AG$8:$AG$75,$AH$8:$AH$75)</f>
        <v>1266.0535302766975</v>
      </c>
      <c r="Y93" s="93">
        <f>[1]!sumAtoB($AG93,$AH93,$AG$8:$AG$75,$AH$8:$AH$75)</f>
        <v>0</v>
      </c>
      <c r="Z93" s="93">
        <f>[1]!sumAtoB($AG93,$AH93,$AG$8:$AG$75,$AH$8:$AH$75)</f>
        <v>0</v>
      </c>
      <c r="AA93" s="93"/>
      <c r="AG93" s="15">
        <v>51467.330999999998</v>
      </c>
      <c r="AH93" s="15">
        <v>53492.406000000003</v>
      </c>
    </row>
    <row r="94" spans="1:34" ht="20.100000000000001" customHeight="1">
      <c r="A94" s="92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</row>
    <row r="95" spans="1:34" ht="20.100000000000001" customHeight="1">
      <c r="A95" s="92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</row>
    <row r="96" spans="1:34" ht="20.100000000000001" customHeight="1">
      <c r="A96" s="92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</row>
    <row r="97" spans="1:27" ht="20.100000000000001" customHeight="1">
      <c r="A97" s="92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</row>
    <row r="98" spans="1:27" ht="20.100000000000001" customHeight="1">
      <c r="A98" s="92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  <c r="AA98" s="93"/>
    </row>
    <row r="99" spans="1:27" ht="20.100000000000001" customHeight="1">
      <c r="A99" s="92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</row>
    <row r="100" spans="1:27" ht="20.100000000000001" customHeight="1">
      <c r="A100" s="92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</row>
    <row r="101" spans="1:27" ht="20.100000000000001" customHeight="1">
      <c r="A101" s="92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</row>
    <row r="102" spans="1:27" ht="20.100000000000001" customHeight="1">
      <c r="A102" s="92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</row>
    <row r="103" spans="1:27" ht="20.100000000000001" customHeight="1">
      <c r="A103" s="92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</row>
    <row r="104" spans="1:27" ht="20.100000000000001" customHeight="1">
      <c r="A104" s="94"/>
    </row>
    <row r="105" spans="1:27" ht="20.100000000000001" customHeight="1"/>
    <row r="106" spans="1:27" ht="20.100000000000001" customHeight="1"/>
  </sheetData>
  <mergeCells count="19">
    <mergeCell ref="AK7:AP7"/>
    <mergeCell ref="S4:V4"/>
    <mergeCell ref="W4:Z4"/>
    <mergeCell ref="AA4:AA6"/>
    <mergeCell ref="C5:C6"/>
    <mergeCell ref="D5:F5"/>
    <mergeCell ref="G5:I5"/>
    <mergeCell ref="Q5:R5"/>
    <mergeCell ref="Y5:Z5"/>
    <mergeCell ref="A1:AA1"/>
    <mergeCell ref="Y2:AA2"/>
    <mergeCell ref="A3:F3"/>
    <mergeCell ref="W3:AA3"/>
    <mergeCell ref="A4:A6"/>
    <mergeCell ref="B4:B6"/>
    <mergeCell ref="C4:I4"/>
    <mergeCell ref="J4:L4"/>
    <mergeCell ref="M4:N4"/>
    <mergeCell ref="O4:R4"/>
  </mergeCells>
  <phoneticPr fontId="2" type="noConversion"/>
  <printOptions horizontalCentered="1" verticalCentered="1"/>
  <pageMargins left="0.98425196850393704" right="0.39370078740157483" top="0.78740157480314965" bottom="0.78740157480314965" header="1.4960629921259843" footer="0.51181102362204722"/>
  <pageSetup paperSize="8" orientation="landscape" r:id="rId1"/>
  <headerFooter alignWithMargins="0">
    <oddHeader>&amp;RC3-13-1  第 &amp;P 页 共 &amp;N 页</oddHeader>
    <oddFooter>&amp;C编制:                                                                        复核:                                                                           审核: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P329"/>
  <sheetViews>
    <sheetView tabSelected="1" workbookViewId="0">
      <selection activeCell="Q21" sqref="Q21"/>
    </sheetView>
  </sheetViews>
  <sheetFormatPr defaultRowHeight="13.5"/>
  <cols>
    <col min="8" max="8" width="9" customWidth="1"/>
    <col min="11" max="11" width="9" customWidth="1"/>
    <col min="16" max="16" width="27.75" bestFit="1" customWidth="1"/>
  </cols>
  <sheetData>
    <row r="1" spans="1:16">
      <c r="A1" t="s">
        <v>114</v>
      </c>
      <c r="B1" t="s">
        <v>115</v>
      </c>
      <c r="C1" t="s">
        <v>116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</v>
      </c>
      <c r="J1" t="s">
        <v>2</v>
      </c>
      <c r="K1" t="s">
        <v>4</v>
      </c>
      <c r="L1" t="s">
        <v>5</v>
      </c>
      <c r="M1" t="s">
        <v>6</v>
      </c>
      <c r="N1" t="s">
        <v>2</v>
      </c>
      <c r="O1" t="s">
        <v>7</v>
      </c>
      <c r="P1" t="s">
        <v>8</v>
      </c>
    </row>
    <row r="2" spans="1:16">
      <c r="A2">
        <v>41647.86</v>
      </c>
      <c r="B2">
        <v>-5.9</v>
      </c>
      <c r="C2">
        <v>543.35609999999997</v>
      </c>
      <c r="D2">
        <v>-9.7952999999999992</v>
      </c>
      <c r="E2">
        <v>551.14660000000003</v>
      </c>
      <c r="F2">
        <v>-0.5</v>
      </c>
      <c r="G2">
        <v>7.7905000000000655</v>
      </c>
      <c r="H2">
        <v>1</v>
      </c>
      <c r="I2">
        <v>-5</v>
      </c>
      <c r="K2">
        <v>41647.86</v>
      </c>
      <c r="L2">
        <v>43145.58</v>
      </c>
      <c r="M2">
        <v>1</v>
      </c>
      <c r="O2">
        <v>1497.7200000000012</v>
      </c>
      <c r="P2">
        <v>-6.2503605333622689E-2</v>
      </c>
    </row>
    <row r="3" spans="1:16">
      <c r="A3">
        <v>41660</v>
      </c>
      <c r="B3">
        <v>-5.9</v>
      </c>
      <c r="C3">
        <v>543.4896</v>
      </c>
      <c r="D3">
        <v>-9.6753</v>
      </c>
      <c r="E3">
        <v>551.0403</v>
      </c>
      <c r="F3">
        <v>-0.5</v>
      </c>
      <c r="G3">
        <v>7.5507000000000062</v>
      </c>
      <c r="H3">
        <v>1</v>
      </c>
      <c r="I3">
        <v>-5</v>
      </c>
      <c r="K3">
        <v>41647.86</v>
      </c>
      <c r="L3">
        <v>42030</v>
      </c>
      <c r="M3">
        <v>2</v>
      </c>
      <c r="O3">
        <v>382.13999999999942</v>
      </c>
      <c r="P3">
        <v>1.1173976012349875</v>
      </c>
    </row>
    <row r="4" spans="1:16">
      <c r="A4">
        <v>41680</v>
      </c>
      <c r="B4">
        <v>-5.9</v>
      </c>
      <c r="C4">
        <v>543.70960000000002</v>
      </c>
      <c r="D4">
        <v>-8.7012</v>
      </c>
      <c r="E4">
        <v>549.31200000000001</v>
      </c>
      <c r="F4">
        <v>-0.5</v>
      </c>
      <c r="G4">
        <v>5.6023999999999887</v>
      </c>
      <c r="H4">
        <v>1</v>
      </c>
      <c r="I4">
        <v>-5</v>
      </c>
      <c r="K4">
        <v>42030</v>
      </c>
      <c r="L4">
        <v>42090</v>
      </c>
      <c r="M4">
        <v>2</v>
      </c>
      <c r="N4" t="s">
        <v>3</v>
      </c>
      <c r="O4">
        <v>60</v>
      </c>
      <c r="P4">
        <v>-5.2154922485351563</v>
      </c>
    </row>
    <row r="5" spans="1:16">
      <c r="A5">
        <v>41696.603999999999</v>
      </c>
      <c r="B5">
        <v>-5.9</v>
      </c>
      <c r="C5">
        <v>543.89229999999998</v>
      </c>
      <c r="D5">
        <v>-7.8926999999999996</v>
      </c>
      <c r="E5">
        <v>547.87779999999998</v>
      </c>
      <c r="F5">
        <v>-0.5</v>
      </c>
      <c r="G5">
        <v>3.9855000000000018</v>
      </c>
      <c r="H5">
        <v>1</v>
      </c>
      <c r="I5">
        <v>-5</v>
      </c>
      <c r="K5">
        <v>42090</v>
      </c>
      <c r="L5">
        <v>43145.58</v>
      </c>
      <c r="M5">
        <v>2</v>
      </c>
      <c r="O5">
        <v>1055.5800000000017</v>
      </c>
      <c r="P5">
        <v>-1.8363551789581882</v>
      </c>
    </row>
    <row r="6" spans="1:16">
      <c r="A6">
        <v>41700</v>
      </c>
      <c r="B6">
        <v>-5.9</v>
      </c>
      <c r="C6">
        <v>543.95849999999996</v>
      </c>
      <c r="D6">
        <v>-7.7584</v>
      </c>
      <c r="E6">
        <v>547.67529999999999</v>
      </c>
      <c r="F6">
        <v>-0.5</v>
      </c>
      <c r="G6">
        <v>3.7168000000000347</v>
      </c>
      <c r="H6">
        <v>1</v>
      </c>
      <c r="I6">
        <v>-5</v>
      </c>
    </row>
    <row r="7" spans="1:16">
      <c r="A7">
        <v>41720</v>
      </c>
      <c r="B7">
        <v>-5.9</v>
      </c>
      <c r="C7">
        <v>544.34849999999994</v>
      </c>
      <c r="D7">
        <v>-6.6116000000000001</v>
      </c>
      <c r="E7">
        <v>545.77170000000001</v>
      </c>
      <c r="F7">
        <v>-0.5</v>
      </c>
      <c r="G7">
        <v>1.4232000000000653</v>
      </c>
      <c r="H7">
        <v>1</v>
      </c>
      <c r="I7">
        <v>-5</v>
      </c>
    </row>
    <row r="8" spans="1:16">
      <c r="A8">
        <v>41731.603999999999</v>
      </c>
      <c r="B8">
        <v>-5.9</v>
      </c>
      <c r="C8">
        <v>544.57479999999998</v>
      </c>
      <c r="D8">
        <v>-5.9882999999999997</v>
      </c>
      <c r="E8">
        <v>544.75139999999999</v>
      </c>
      <c r="F8">
        <v>-0.5</v>
      </c>
      <c r="G8">
        <v>0.17660000000000764</v>
      </c>
      <c r="H8">
        <v>1</v>
      </c>
      <c r="I8">
        <v>-5</v>
      </c>
    </row>
    <row r="9" spans="1:16">
      <c r="A9">
        <v>41740</v>
      </c>
      <c r="B9">
        <v>-5</v>
      </c>
      <c r="C9">
        <v>544.6671</v>
      </c>
      <c r="D9">
        <v>-5.3632</v>
      </c>
      <c r="E9">
        <v>544.42499999999995</v>
      </c>
      <c r="F9">
        <v>1.5</v>
      </c>
      <c r="G9">
        <v>-0.24210000000005039</v>
      </c>
      <c r="H9">
        <v>1</v>
      </c>
      <c r="I9">
        <v>5</v>
      </c>
    </row>
    <row r="10" spans="1:16">
      <c r="A10">
        <v>41757.095999999998</v>
      </c>
      <c r="B10">
        <v>-5</v>
      </c>
      <c r="C10">
        <v>544.85519999999997</v>
      </c>
      <c r="D10">
        <v>-6.2460000000000004</v>
      </c>
      <c r="E10">
        <v>544.02449999999999</v>
      </c>
      <c r="F10">
        <v>1.5</v>
      </c>
      <c r="G10">
        <v>-0.8306999999999789</v>
      </c>
      <c r="H10">
        <v>1</v>
      </c>
      <c r="I10">
        <v>5</v>
      </c>
    </row>
    <row r="11" spans="1:16">
      <c r="A11">
        <v>41760</v>
      </c>
      <c r="B11">
        <v>-5</v>
      </c>
      <c r="C11">
        <v>544.88710000000003</v>
      </c>
      <c r="D11">
        <v>-6.1536</v>
      </c>
      <c r="E11">
        <v>544.11810000000003</v>
      </c>
      <c r="F11">
        <v>1.5</v>
      </c>
      <c r="G11">
        <v>-0.76900000000000546</v>
      </c>
      <c r="H11">
        <v>1</v>
      </c>
      <c r="I11">
        <v>5</v>
      </c>
    </row>
    <row r="12" spans="1:16">
      <c r="A12">
        <v>41780</v>
      </c>
      <c r="B12">
        <v>-5</v>
      </c>
      <c r="C12">
        <v>545.10709999999995</v>
      </c>
      <c r="D12">
        <v>-6.1787000000000001</v>
      </c>
      <c r="E12">
        <v>544.32129999999995</v>
      </c>
      <c r="F12">
        <v>1.5</v>
      </c>
      <c r="G12">
        <v>-0.78579999999999472</v>
      </c>
      <c r="H12">
        <v>1</v>
      </c>
      <c r="I12">
        <v>5</v>
      </c>
    </row>
    <row r="13" spans="1:16">
      <c r="A13">
        <v>41782.587</v>
      </c>
      <c r="B13">
        <v>-5</v>
      </c>
      <c r="C13">
        <v>545.13559999999995</v>
      </c>
      <c r="D13">
        <v>-6.1390000000000002</v>
      </c>
      <c r="E13">
        <v>544.37630000000001</v>
      </c>
      <c r="F13">
        <v>1.5</v>
      </c>
      <c r="G13">
        <v>-0.75929999999993925</v>
      </c>
      <c r="H13">
        <v>1</v>
      </c>
      <c r="I13">
        <v>5</v>
      </c>
    </row>
    <row r="14" spans="1:16">
      <c r="A14">
        <v>41800</v>
      </c>
      <c r="B14">
        <v>-5</v>
      </c>
      <c r="C14">
        <v>545.22140000000002</v>
      </c>
      <c r="D14">
        <v>-5.8472999999999997</v>
      </c>
      <c r="E14">
        <v>544.65650000000005</v>
      </c>
      <c r="F14">
        <v>1.5</v>
      </c>
      <c r="G14">
        <v>-0.56489999999996598</v>
      </c>
      <c r="H14">
        <v>1</v>
      </c>
      <c r="I14">
        <v>5</v>
      </c>
    </row>
    <row r="15" spans="1:16">
      <c r="A15">
        <v>41817.587</v>
      </c>
      <c r="B15">
        <v>-5</v>
      </c>
      <c r="C15">
        <v>545.30809999999997</v>
      </c>
      <c r="D15">
        <v>-5.2930000000000001</v>
      </c>
      <c r="E15">
        <v>545.11279999999999</v>
      </c>
      <c r="F15">
        <v>1.5</v>
      </c>
      <c r="G15">
        <v>-0.19529999999997472</v>
      </c>
      <c r="H15">
        <v>1</v>
      </c>
      <c r="I15">
        <v>5</v>
      </c>
    </row>
    <row r="16" spans="1:16">
      <c r="A16">
        <v>41820</v>
      </c>
      <c r="B16">
        <v>-5.0552000000000001</v>
      </c>
      <c r="C16">
        <v>545.31979999999999</v>
      </c>
      <c r="D16">
        <v>-5.3547000000000002</v>
      </c>
      <c r="E16">
        <v>545.12009999999998</v>
      </c>
      <c r="F16">
        <v>1.5</v>
      </c>
      <c r="G16">
        <v>-0.19970000000000709</v>
      </c>
      <c r="H16">
        <v>1</v>
      </c>
      <c r="I16">
        <v>5.0549999999999997</v>
      </c>
      <c r="K16" s="1"/>
      <c r="L16" s="1"/>
      <c r="M16" s="1"/>
      <c r="N16" s="1"/>
      <c r="O16" s="9"/>
    </row>
    <row r="17" spans="1:15">
      <c r="A17">
        <v>41840</v>
      </c>
      <c r="B17">
        <v>-5.5122999999999998</v>
      </c>
      <c r="C17">
        <v>545.36919999999998</v>
      </c>
      <c r="D17">
        <v>-5.5266999999999999</v>
      </c>
      <c r="E17">
        <v>545.3596</v>
      </c>
      <c r="F17">
        <v>1.5</v>
      </c>
      <c r="G17">
        <v>-9.5999999999776264E-3</v>
      </c>
      <c r="H17">
        <v>1</v>
      </c>
      <c r="I17">
        <v>5.5119999999999996</v>
      </c>
    </row>
    <row r="18" spans="1:15">
      <c r="A18">
        <v>41852.587</v>
      </c>
      <c r="B18">
        <v>-6.7</v>
      </c>
      <c r="C18">
        <v>545.31200000000001</v>
      </c>
      <c r="D18">
        <v>-7.3122999999999996</v>
      </c>
      <c r="E18">
        <v>546.53650000000005</v>
      </c>
      <c r="F18">
        <v>-0.5</v>
      </c>
      <c r="G18">
        <v>1.2245000000000346</v>
      </c>
      <c r="H18">
        <v>1</v>
      </c>
      <c r="I18">
        <v>-5.8</v>
      </c>
    </row>
    <row r="19" spans="1:15">
      <c r="A19">
        <v>41860</v>
      </c>
      <c r="B19">
        <v>-6.7</v>
      </c>
      <c r="C19">
        <v>545.32119999999998</v>
      </c>
      <c r="D19">
        <v>-7.9518000000000004</v>
      </c>
      <c r="E19">
        <v>547.82489999999996</v>
      </c>
      <c r="F19">
        <v>-0.5</v>
      </c>
      <c r="G19">
        <v>2.5036999999999807</v>
      </c>
      <c r="H19">
        <v>1</v>
      </c>
      <c r="I19">
        <v>-5.8</v>
      </c>
    </row>
    <row r="20" spans="1:15">
      <c r="A20">
        <v>41880</v>
      </c>
      <c r="B20">
        <v>-6.7</v>
      </c>
      <c r="C20">
        <v>545.25760000000002</v>
      </c>
      <c r="D20">
        <v>-9.0711999999999993</v>
      </c>
      <c r="E20">
        <v>550</v>
      </c>
      <c r="F20">
        <v>-0.5</v>
      </c>
      <c r="G20">
        <v>4.7423999999999751</v>
      </c>
      <c r="H20">
        <v>1</v>
      </c>
      <c r="I20">
        <v>-5.8</v>
      </c>
    </row>
    <row r="21" spans="1:15">
      <c r="A21">
        <v>41900</v>
      </c>
      <c r="B21">
        <v>-6.7</v>
      </c>
      <c r="C21">
        <v>545.06500000000005</v>
      </c>
      <c r="D21">
        <v>-9.1675000000000004</v>
      </c>
      <c r="E21">
        <v>550</v>
      </c>
      <c r="F21">
        <v>-0.5</v>
      </c>
      <c r="G21">
        <v>4.9349999999999454</v>
      </c>
      <c r="H21">
        <v>1</v>
      </c>
      <c r="I21">
        <v>-5.8</v>
      </c>
    </row>
    <row r="22" spans="1:15">
      <c r="A22">
        <v>41920</v>
      </c>
      <c r="B22">
        <v>-6.7</v>
      </c>
      <c r="C22">
        <v>544.74329999999998</v>
      </c>
      <c r="D22">
        <v>-9.3283000000000005</v>
      </c>
      <c r="E22">
        <v>550</v>
      </c>
      <c r="F22">
        <v>-0.5</v>
      </c>
      <c r="G22">
        <v>5.2567000000000235</v>
      </c>
      <c r="H22">
        <v>1</v>
      </c>
      <c r="I22">
        <v>-5.8</v>
      </c>
    </row>
    <row r="23" spans="1:15">
      <c r="A23">
        <v>41930.243000000002</v>
      </c>
      <c r="B23">
        <v>-6.7</v>
      </c>
      <c r="C23">
        <v>544.52859999999998</v>
      </c>
      <c r="D23">
        <v>-9.4357000000000006</v>
      </c>
      <c r="E23">
        <v>550</v>
      </c>
      <c r="F23">
        <v>-0.5</v>
      </c>
      <c r="G23">
        <v>5.4714000000000169</v>
      </c>
      <c r="H23">
        <v>1</v>
      </c>
      <c r="I23">
        <v>-5.8</v>
      </c>
    </row>
    <row r="24" spans="1:15">
      <c r="A24">
        <v>41940</v>
      </c>
      <c r="B24">
        <v>-6.7</v>
      </c>
      <c r="C24">
        <v>544.29269999999997</v>
      </c>
      <c r="D24">
        <v>-9.5536999999999992</v>
      </c>
      <c r="E24">
        <v>550</v>
      </c>
      <c r="F24">
        <v>-0.5</v>
      </c>
      <c r="G24">
        <v>5.707300000000032</v>
      </c>
      <c r="H24">
        <v>1</v>
      </c>
      <c r="I24">
        <v>-5.8</v>
      </c>
    </row>
    <row r="25" spans="1:15">
      <c r="A25">
        <v>41960</v>
      </c>
      <c r="B25">
        <v>-6.7</v>
      </c>
      <c r="C25">
        <v>543.72050000000002</v>
      </c>
      <c r="D25">
        <v>-9.8397000000000006</v>
      </c>
      <c r="E25">
        <v>550</v>
      </c>
      <c r="F25">
        <v>-0.5</v>
      </c>
      <c r="G25">
        <v>6.2794999999999845</v>
      </c>
      <c r="H25">
        <v>1</v>
      </c>
      <c r="I25">
        <v>-5.8</v>
      </c>
    </row>
    <row r="26" spans="1:15">
      <c r="A26" s="2">
        <v>41980</v>
      </c>
      <c r="B26">
        <v>-6.7</v>
      </c>
      <c r="C26">
        <v>543.12049999999999</v>
      </c>
      <c r="D26">
        <v>-9.1858000000000004</v>
      </c>
      <c r="E26">
        <v>548.09220000000005</v>
      </c>
      <c r="F26">
        <v>-0.5</v>
      </c>
      <c r="G26">
        <v>4.9717000000000553</v>
      </c>
      <c r="H26">
        <v>1</v>
      </c>
      <c r="I26">
        <v>-5.8</v>
      </c>
    </row>
    <row r="27" spans="1:15">
      <c r="A27">
        <v>42000</v>
      </c>
      <c r="B27">
        <v>-5.8</v>
      </c>
      <c r="C27">
        <v>542.52049999999997</v>
      </c>
      <c r="D27">
        <v>-6.5179</v>
      </c>
      <c r="E27">
        <v>542.04190000000006</v>
      </c>
      <c r="F27">
        <v>1.5</v>
      </c>
      <c r="G27">
        <v>-0.47859999999991487</v>
      </c>
      <c r="H27">
        <v>1</v>
      </c>
      <c r="I27">
        <v>5.8</v>
      </c>
      <c r="K27" s="1"/>
      <c r="L27" s="1"/>
      <c r="M27" s="1"/>
      <c r="N27" s="1"/>
      <c r="O27" s="9"/>
    </row>
    <row r="28" spans="1:15">
      <c r="A28">
        <v>42007.898999999998</v>
      </c>
      <c r="B28">
        <v>-5.8</v>
      </c>
      <c r="C28">
        <v>542.2835</v>
      </c>
      <c r="D28">
        <v>-9.2253000000000007</v>
      </c>
      <c r="E28">
        <v>540</v>
      </c>
      <c r="F28">
        <v>1.5</v>
      </c>
      <c r="G28">
        <v>-2.2835000000000036</v>
      </c>
      <c r="H28">
        <v>1</v>
      </c>
      <c r="I28">
        <v>5.8</v>
      </c>
    </row>
    <row r="29" spans="1:15">
      <c r="A29">
        <v>42020</v>
      </c>
      <c r="B29">
        <v>-5.5233999999999996</v>
      </c>
      <c r="C29">
        <v>542.06799999999998</v>
      </c>
      <c r="D29">
        <v>-8.6254000000000008</v>
      </c>
      <c r="E29">
        <v>540</v>
      </c>
      <c r="F29">
        <v>1.5</v>
      </c>
      <c r="G29">
        <v>-2.0679999999999836</v>
      </c>
      <c r="H29">
        <v>1</v>
      </c>
      <c r="I29">
        <v>5.5229999999999997</v>
      </c>
    </row>
    <row r="30" spans="1:15">
      <c r="A30">
        <v>42040</v>
      </c>
      <c r="B30">
        <v>-5.0663</v>
      </c>
      <c r="C30">
        <v>541.50909999999999</v>
      </c>
      <c r="D30">
        <v>-7.3299000000000003</v>
      </c>
      <c r="E30">
        <v>540</v>
      </c>
      <c r="F30">
        <v>1.5</v>
      </c>
      <c r="G30">
        <v>-1.5090999999999894</v>
      </c>
      <c r="H30">
        <v>1</v>
      </c>
      <c r="I30">
        <v>5.0659999999999998</v>
      </c>
    </row>
    <row r="31" spans="1:15">
      <c r="A31">
        <v>42042.898999999998</v>
      </c>
      <c r="B31">
        <v>-5</v>
      </c>
      <c r="C31">
        <v>541.42349999999999</v>
      </c>
      <c r="D31">
        <v>-7.1352000000000002</v>
      </c>
      <c r="E31">
        <v>540</v>
      </c>
      <c r="F31">
        <v>1.5</v>
      </c>
      <c r="G31">
        <v>-1.42349999999999</v>
      </c>
      <c r="H31">
        <v>1</v>
      </c>
      <c r="I31">
        <v>5</v>
      </c>
    </row>
    <row r="32" spans="1:15">
      <c r="A32">
        <v>42060</v>
      </c>
      <c r="B32">
        <v>-5</v>
      </c>
      <c r="C32">
        <v>541.0154</v>
      </c>
      <c r="D32">
        <v>-5.5877999999999997</v>
      </c>
      <c r="E32">
        <v>540.62360000000001</v>
      </c>
      <c r="F32">
        <v>1.5</v>
      </c>
      <c r="G32">
        <v>-0.39179999999998927</v>
      </c>
      <c r="H32">
        <v>1</v>
      </c>
      <c r="I32">
        <v>5</v>
      </c>
    </row>
    <row r="33" spans="1:9">
      <c r="A33">
        <v>42080</v>
      </c>
      <c r="B33">
        <v>-5.6</v>
      </c>
      <c r="C33">
        <v>540.91539999999998</v>
      </c>
      <c r="D33">
        <v>-6.2683</v>
      </c>
      <c r="E33">
        <v>540.91539999999998</v>
      </c>
      <c r="F33">
        <v>9999</v>
      </c>
      <c r="G33">
        <v>0</v>
      </c>
      <c r="H33">
        <v>1</v>
      </c>
      <c r="I33">
        <v>5</v>
      </c>
    </row>
    <row r="34" spans="1:9">
      <c r="A34">
        <v>42100</v>
      </c>
      <c r="B34">
        <v>-5</v>
      </c>
      <c r="C34">
        <v>541.21540000000005</v>
      </c>
      <c r="D34">
        <v>-6.5448000000000004</v>
      </c>
      <c r="E34">
        <v>540.18560000000002</v>
      </c>
      <c r="F34">
        <v>1.5</v>
      </c>
      <c r="G34">
        <v>-1.0298000000000229</v>
      </c>
      <c r="H34">
        <v>1</v>
      </c>
      <c r="I34">
        <v>5</v>
      </c>
    </row>
    <row r="35" spans="1:9">
      <c r="A35">
        <v>42120</v>
      </c>
      <c r="B35">
        <v>-5</v>
      </c>
      <c r="C35">
        <v>541.91539999999998</v>
      </c>
      <c r="D35">
        <v>-8.7810000000000006</v>
      </c>
      <c r="E35">
        <v>539.39480000000003</v>
      </c>
      <c r="F35">
        <v>1.5</v>
      </c>
      <c r="G35">
        <v>-2.5205999999999449</v>
      </c>
      <c r="H35">
        <v>1</v>
      </c>
      <c r="I35">
        <v>5</v>
      </c>
    </row>
    <row r="36" spans="1:9">
      <c r="A36">
        <v>42128.457999999999</v>
      </c>
      <c r="B36">
        <v>-5</v>
      </c>
      <c r="C36">
        <v>542.32579999999996</v>
      </c>
      <c r="D36">
        <v>-9.3650000000000002</v>
      </c>
      <c r="E36">
        <v>539.41579999999999</v>
      </c>
      <c r="F36">
        <v>1.5</v>
      </c>
      <c r="G36">
        <v>-2.9099999999999682</v>
      </c>
      <c r="H36">
        <v>1</v>
      </c>
      <c r="I36">
        <v>5</v>
      </c>
    </row>
    <row r="37" spans="1:9">
      <c r="A37">
        <v>42140</v>
      </c>
      <c r="B37">
        <v>-5</v>
      </c>
      <c r="C37">
        <v>542.98699999999997</v>
      </c>
      <c r="D37">
        <v>-10.0839</v>
      </c>
      <c r="E37">
        <v>539.59770000000003</v>
      </c>
      <c r="F37">
        <v>1.5</v>
      </c>
      <c r="G37">
        <v>-3.3892999999999347</v>
      </c>
      <c r="H37">
        <v>1</v>
      </c>
      <c r="I37">
        <v>5</v>
      </c>
    </row>
    <row r="38" spans="1:9">
      <c r="A38">
        <v>42160</v>
      </c>
      <c r="B38">
        <v>-5</v>
      </c>
      <c r="C38">
        <v>544.1327</v>
      </c>
      <c r="D38">
        <v>-10.856299999999999</v>
      </c>
      <c r="E38">
        <v>540.22850000000005</v>
      </c>
      <c r="F38">
        <v>1.5</v>
      </c>
      <c r="G38">
        <v>-3.9041999999999462</v>
      </c>
      <c r="H38">
        <v>1</v>
      </c>
      <c r="I38">
        <v>5</v>
      </c>
    </row>
    <row r="39" spans="1:9">
      <c r="A39">
        <v>42163.457999999999</v>
      </c>
      <c r="B39">
        <v>-5</v>
      </c>
      <c r="C39">
        <v>544.33079999999995</v>
      </c>
      <c r="D39">
        <v>-11.0169</v>
      </c>
      <c r="E39">
        <v>540.31949999999995</v>
      </c>
      <c r="F39">
        <v>1.5</v>
      </c>
      <c r="G39">
        <v>-4.0113000000000056</v>
      </c>
      <c r="H39">
        <v>1</v>
      </c>
      <c r="I39">
        <v>5</v>
      </c>
    </row>
    <row r="40" spans="1:9">
      <c r="A40">
        <v>42180</v>
      </c>
      <c r="B40">
        <v>-5</v>
      </c>
      <c r="C40">
        <v>545.15790000000004</v>
      </c>
      <c r="D40">
        <v>-11.887700000000001</v>
      </c>
      <c r="E40">
        <v>540.56610000000001</v>
      </c>
      <c r="F40">
        <v>1.5</v>
      </c>
      <c r="G40">
        <v>-4.5918000000000347</v>
      </c>
      <c r="H40">
        <v>1</v>
      </c>
      <c r="I40">
        <v>5</v>
      </c>
    </row>
    <row r="41" spans="1:9">
      <c r="A41">
        <v>42200</v>
      </c>
      <c r="B41">
        <v>-5</v>
      </c>
      <c r="C41">
        <v>546.15790000000004</v>
      </c>
      <c r="D41">
        <v>-13.866199999999999</v>
      </c>
      <c r="E41">
        <v>540.24710000000005</v>
      </c>
      <c r="F41">
        <v>1.5</v>
      </c>
      <c r="G41">
        <v>-5.9107999999999947</v>
      </c>
      <c r="H41">
        <v>1</v>
      </c>
      <c r="I41">
        <v>5</v>
      </c>
    </row>
    <row r="42" spans="1:9">
      <c r="A42">
        <v>42219.784</v>
      </c>
      <c r="B42">
        <v>-18.5</v>
      </c>
      <c r="C42">
        <v>539.14710000000002</v>
      </c>
      <c r="D42">
        <v>-18.558900000000001</v>
      </c>
      <c r="E42">
        <v>539.11339999999996</v>
      </c>
      <c r="F42">
        <v>1.75</v>
      </c>
      <c r="G42">
        <v>-3.3700000000067121E-2</v>
      </c>
      <c r="H42">
        <v>1</v>
      </c>
      <c r="I42">
        <v>5</v>
      </c>
    </row>
    <row r="43" spans="1:9">
      <c r="A43">
        <v>42220</v>
      </c>
      <c r="B43">
        <v>-18.5</v>
      </c>
      <c r="C43">
        <v>539.15790000000004</v>
      </c>
      <c r="D43">
        <v>-18.611799999999999</v>
      </c>
      <c r="E43">
        <v>539.09400000000005</v>
      </c>
      <c r="F43">
        <v>1.75</v>
      </c>
      <c r="G43">
        <v>-6.3899999999989632E-2</v>
      </c>
      <c r="H43">
        <v>1</v>
      </c>
      <c r="I43">
        <v>5</v>
      </c>
    </row>
    <row r="44" spans="1:9">
      <c r="A44">
        <v>42240</v>
      </c>
      <c r="B44">
        <v>-18.5</v>
      </c>
      <c r="C44">
        <v>540.14559999999994</v>
      </c>
      <c r="D44">
        <v>-18.7547</v>
      </c>
      <c r="E44">
        <v>540</v>
      </c>
      <c r="F44">
        <v>1.75</v>
      </c>
      <c r="G44">
        <v>-0.14559999999994488</v>
      </c>
      <c r="H44">
        <v>1</v>
      </c>
      <c r="I44">
        <v>5</v>
      </c>
    </row>
    <row r="45" spans="1:9">
      <c r="A45">
        <v>42260</v>
      </c>
      <c r="B45">
        <v>-18.5</v>
      </c>
      <c r="C45">
        <v>541.02459999999996</v>
      </c>
      <c r="D45">
        <v>-20.292999999999999</v>
      </c>
      <c r="E45">
        <v>540</v>
      </c>
      <c r="F45">
        <v>1.75</v>
      </c>
      <c r="G45">
        <v>-1.024599999999964</v>
      </c>
      <c r="H45">
        <v>1</v>
      </c>
      <c r="I45">
        <v>5</v>
      </c>
    </row>
    <row r="46" spans="1:9">
      <c r="A46">
        <v>42276.110999999997</v>
      </c>
      <c r="B46">
        <v>-5</v>
      </c>
      <c r="C46">
        <v>549.63890000000004</v>
      </c>
      <c r="D46">
        <v>-15.8002</v>
      </c>
      <c r="E46">
        <v>542.43870000000004</v>
      </c>
      <c r="F46">
        <v>1.5</v>
      </c>
      <c r="G46">
        <v>-7.2001999999999953</v>
      </c>
      <c r="H46">
        <v>1</v>
      </c>
      <c r="I46">
        <v>5</v>
      </c>
    </row>
    <row r="47" spans="1:9">
      <c r="A47">
        <v>42280</v>
      </c>
      <c r="B47">
        <v>-5</v>
      </c>
      <c r="C47">
        <v>549.74620000000004</v>
      </c>
      <c r="D47">
        <v>-14.569599999999999</v>
      </c>
      <c r="E47">
        <v>543.36649999999997</v>
      </c>
      <c r="F47">
        <v>1.5</v>
      </c>
      <c r="G47">
        <v>-6.3797000000000708</v>
      </c>
      <c r="H47">
        <v>1</v>
      </c>
      <c r="I47">
        <v>5</v>
      </c>
    </row>
    <row r="48" spans="1:9">
      <c r="A48">
        <v>42300</v>
      </c>
      <c r="B48">
        <v>-5</v>
      </c>
      <c r="C48">
        <v>550.22149999999999</v>
      </c>
      <c r="D48">
        <v>-7.6620999999999997</v>
      </c>
      <c r="E48">
        <v>548.44680000000005</v>
      </c>
      <c r="F48">
        <v>1.5</v>
      </c>
      <c r="G48">
        <v>-1.7746999999999389</v>
      </c>
      <c r="H48">
        <v>1</v>
      </c>
      <c r="I48">
        <v>5</v>
      </c>
    </row>
    <row r="49" spans="1:9">
      <c r="A49">
        <v>42311.110999999997</v>
      </c>
      <c r="B49">
        <v>-5.9</v>
      </c>
      <c r="C49">
        <v>550.4307</v>
      </c>
      <c r="D49">
        <v>-6.1706000000000003</v>
      </c>
      <c r="E49">
        <v>550.97180000000003</v>
      </c>
      <c r="F49">
        <v>-0.5</v>
      </c>
      <c r="G49">
        <v>0.54110000000002856</v>
      </c>
      <c r="H49">
        <v>1</v>
      </c>
      <c r="I49">
        <v>-5</v>
      </c>
    </row>
    <row r="50" spans="1:9">
      <c r="A50">
        <v>42320</v>
      </c>
      <c r="B50">
        <v>-5.9</v>
      </c>
      <c r="C50">
        <v>550.65290000000005</v>
      </c>
      <c r="D50">
        <v>-6.6218000000000004</v>
      </c>
      <c r="E50">
        <v>552.09659999999997</v>
      </c>
      <c r="F50">
        <v>-0.5</v>
      </c>
      <c r="G50">
        <v>1.4436999999999216</v>
      </c>
      <c r="H50">
        <v>1</v>
      </c>
      <c r="I50">
        <v>-5</v>
      </c>
    </row>
    <row r="51" spans="1:9">
      <c r="A51">
        <v>42340</v>
      </c>
      <c r="B51">
        <v>-5.9</v>
      </c>
      <c r="C51">
        <v>551.15290000000005</v>
      </c>
      <c r="D51">
        <v>-6.7187000000000001</v>
      </c>
      <c r="E51">
        <v>552.7903</v>
      </c>
      <c r="F51">
        <v>-0.5</v>
      </c>
      <c r="G51">
        <v>1.6373999999999569</v>
      </c>
      <c r="H51">
        <v>1</v>
      </c>
      <c r="I51">
        <v>-5</v>
      </c>
    </row>
    <row r="52" spans="1:9">
      <c r="A52">
        <v>42360</v>
      </c>
      <c r="B52">
        <v>-5</v>
      </c>
      <c r="C52">
        <v>551.65290000000005</v>
      </c>
      <c r="D52">
        <v>-10.4216</v>
      </c>
      <c r="E52">
        <v>548.0385</v>
      </c>
      <c r="F52">
        <v>1.5</v>
      </c>
      <c r="G52">
        <v>-3.614400000000046</v>
      </c>
      <c r="H52">
        <v>1</v>
      </c>
      <c r="I52">
        <v>5</v>
      </c>
    </row>
    <row r="53" spans="1:9">
      <c r="A53">
        <v>42380</v>
      </c>
      <c r="B53">
        <v>-17</v>
      </c>
      <c r="C53">
        <v>544.15290000000005</v>
      </c>
      <c r="D53">
        <v>-17.630600000000001</v>
      </c>
      <c r="E53">
        <v>544.15290000000005</v>
      </c>
      <c r="F53">
        <v>9999</v>
      </c>
      <c r="G53">
        <v>0</v>
      </c>
      <c r="H53">
        <v>1</v>
      </c>
      <c r="I53">
        <v>5</v>
      </c>
    </row>
    <row r="54" spans="1:9">
      <c r="A54">
        <v>42400</v>
      </c>
      <c r="B54">
        <v>-4.25</v>
      </c>
      <c r="C54">
        <v>552.67539999999997</v>
      </c>
      <c r="D54">
        <v>-5</v>
      </c>
      <c r="E54">
        <v>552.65290000000005</v>
      </c>
      <c r="F54">
        <v>33.33</v>
      </c>
      <c r="G54">
        <v>-2.2499999999922693E-2</v>
      </c>
      <c r="H54">
        <v>1</v>
      </c>
      <c r="I54">
        <v>5</v>
      </c>
    </row>
    <row r="55" spans="1:9">
      <c r="A55">
        <v>42420</v>
      </c>
      <c r="B55">
        <v>-4.25</v>
      </c>
      <c r="C55">
        <v>553.17539999999997</v>
      </c>
      <c r="D55">
        <v>-5</v>
      </c>
      <c r="E55">
        <v>553.15290000000005</v>
      </c>
      <c r="F55">
        <v>33.33</v>
      </c>
      <c r="G55">
        <v>-2.2499999999922693E-2</v>
      </c>
      <c r="H55">
        <v>1</v>
      </c>
      <c r="I55">
        <v>5</v>
      </c>
    </row>
    <row r="56" spans="1:9">
      <c r="A56">
        <v>42440</v>
      </c>
      <c r="B56">
        <v>-4.25</v>
      </c>
      <c r="C56">
        <v>553.67539999999997</v>
      </c>
      <c r="D56">
        <v>-5</v>
      </c>
      <c r="E56">
        <v>553.65290000000005</v>
      </c>
      <c r="F56">
        <v>33.33</v>
      </c>
      <c r="G56">
        <v>-2.2499999999922693E-2</v>
      </c>
      <c r="H56">
        <v>1</v>
      </c>
      <c r="I56">
        <v>5</v>
      </c>
    </row>
    <row r="57" spans="1:9">
      <c r="A57">
        <v>42460</v>
      </c>
      <c r="B57">
        <v>-4.25</v>
      </c>
      <c r="C57">
        <v>554.17539999999997</v>
      </c>
      <c r="D57">
        <v>-5</v>
      </c>
      <c r="E57">
        <v>554.15290000000005</v>
      </c>
      <c r="F57">
        <v>33.33</v>
      </c>
      <c r="G57">
        <v>-2.2499999999922693E-2</v>
      </c>
      <c r="H57">
        <v>1</v>
      </c>
      <c r="I57">
        <v>5</v>
      </c>
    </row>
    <row r="58" spans="1:9">
      <c r="A58">
        <v>42480</v>
      </c>
      <c r="B58">
        <v>-4.25</v>
      </c>
      <c r="C58">
        <v>554.67539999999997</v>
      </c>
      <c r="D58">
        <v>-5</v>
      </c>
      <c r="E58">
        <v>554.65290000000005</v>
      </c>
      <c r="F58">
        <v>33.33</v>
      </c>
      <c r="G58">
        <v>-2.2499999999922693E-2</v>
      </c>
      <c r="H58">
        <v>1</v>
      </c>
      <c r="I58">
        <v>5</v>
      </c>
    </row>
    <row r="59" spans="1:9">
      <c r="A59">
        <v>42500</v>
      </c>
      <c r="B59">
        <v>-4.25</v>
      </c>
      <c r="C59">
        <v>555.17539999999997</v>
      </c>
      <c r="D59">
        <v>-5</v>
      </c>
      <c r="E59">
        <v>555.15290000000005</v>
      </c>
      <c r="F59">
        <v>33.33</v>
      </c>
      <c r="G59">
        <v>-2.2499999999922693E-2</v>
      </c>
      <c r="H59">
        <v>1</v>
      </c>
      <c r="I59">
        <v>5</v>
      </c>
    </row>
    <row r="60" spans="1:9">
      <c r="A60">
        <v>42520</v>
      </c>
      <c r="B60">
        <v>-4.25</v>
      </c>
      <c r="C60">
        <v>555.67539999999997</v>
      </c>
      <c r="D60">
        <v>-5</v>
      </c>
      <c r="E60">
        <v>555.65290000000005</v>
      </c>
      <c r="F60">
        <v>33.33</v>
      </c>
      <c r="G60">
        <v>-2.2499999999922693E-2</v>
      </c>
      <c r="H60">
        <v>1</v>
      </c>
      <c r="I60">
        <v>5</v>
      </c>
    </row>
    <row r="61" spans="1:9">
      <c r="A61">
        <v>42540</v>
      </c>
      <c r="B61">
        <v>-4.25</v>
      </c>
      <c r="C61">
        <v>556.17539999999997</v>
      </c>
      <c r="D61">
        <v>-5</v>
      </c>
      <c r="E61">
        <v>556.15290000000005</v>
      </c>
      <c r="F61">
        <v>33.33</v>
      </c>
      <c r="G61">
        <v>-2.2499999999922693E-2</v>
      </c>
      <c r="H61">
        <v>1</v>
      </c>
      <c r="I61">
        <v>5</v>
      </c>
    </row>
    <row r="62" spans="1:9">
      <c r="A62">
        <v>42560</v>
      </c>
      <c r="B62">
        <v>-4.25</v>
      </c>
      <c r="C62">
        <v>556.67539999999997</v>
      </c>
      <c r="D62">
        <v>-5</v>
      </c>
      <c r="E62">
        <v>556.65290000000005</v>
      </c>
      <c r="F62">
        <v>33.33</v>
      </c>
      <c r="G62">
        <v>-2.2499999999922693E-2</v>
      </c>
      <c r="H62">
        <v>1</v>
      </c>
      <c r="I62">
        <v>5</v>
      </c>
    </row>
    <row r="63" spans="1:9">
      <c r="A63">
        <v>42580</v>
      </c>
      <c r="B63">
        <v>-4.25</v>
      </c>
      <c r="C63">
        <v>557.17539999999997</v>
      </c>
      <c r="D63">
        <v>-5</v>
      </c>
      <c r="E63">
        <v>557.15290000000005</v>
      </c>
      <c r="F63">
        <v>33.33</v>
      </c>
      <c r="G63">
        <v>-2.2499999999922693E-2</v>
      </c>
      <c r="H63">
        <v>1</v>
      </c>
      <c r="I63">
        <v>5</v>
      </c>
    </row>
    <row r="64" spans="1:9">
      <c r="A64">
        <v>42600</v>
      </c>
      <c r="B64">
        <v>-4.25</v>
      </c>
      <c r="C64">
        <v>557.67539999999997</v>
      </c>
      <c r="D64">
        <v>-5</v>
      </c>
      <c r="E64">
        <v>557.65290000000005</v>
      </c>
      <c r="F64">
        <v>33.33</v>
      </c>
      <c r="G64">
        <v>-2.2499999999922693E-2</v>
      </c>
      <c r="H64">
        <v>1</v>
      </c>
      <c r="I64">
        <v>5</v>
      </c>
    </row>
    <row r="65" spans="1:9">
      <c r="A65">
        <v>42620</v>
      </c>
      <c r="B65">
        <v>-4.25</v>
      </c>
      <c r="C65">
        <v>558.17539999999997</v>
      </c>
      <c r="D65">
        <v>-5</v>
      </c>
      <c r="E65">
        <v>558.15290000000005</v>
      </c>
      <c r="F65">
        <v>33.33</v>
      </c>
      <c r="G65">
        <v>-2.2499999999922693E-2</v>
      </c>
      <c r="H65">
        <v>1</v>
      </c>
      <c r="I65">
        <v>5</v>
      </c>
    </row>
    <row r="66" spans="1:9">
      <c r="A66">
        <v>42640</v>
      </c>
      <c r="B66">
        <v>-4.25</v>
      </c>
      <c r="C66">
        <v>558.67539999999997</v>
      </c>
      <c r="D66">
        <v>-5</v>
      </c>
      <c r="E66">
        <v>558.65290000000005</v>
      </c>
      <c r="F66">
        <v>33.33</v>
      </c>
      <c r="G66">
        <v>-2.2499999999922693E-2</v>
      </c>
      <c r="H66">
        <v>1</v>
      </c>
      <c r="I66">
        <v>5</v>
      </c>
    </row>
    <row r="67" spans="1:9">
      <c r="A67">
        <v>42660</v>
      </c>
      <c r="B67">
        <v>-4.25</v>
      </c>
      <c r="C67">
        <v>559.17539999999997</v>
      </c>
      <c r="D67">
        <v>-5</v>
      </c>
      <c r="E67">
        <v>559.15290000000005</v>
      </c>
      <c r="F67">
        <v>33.33</v>
      </c>
      <c r="G67">
        <v>-2.2499999999922693E-2</v>
      </c>
      <c r="H67">
        <v>1</v>
      </c>
      <c r="I67">
        <v>5</v>
      </c>
    </row>
    <row r="68" spans="1:9">
      <c r="A68">
        <v>42680</v>
      </c>
      <c r="B68">
        <v>-4.25</v>
      </c>
      <c r="C68">
        <v>559.67539999999997</v>
      </c>
      <c r="D68">
        <v>-5</v>
      </c>
      <c r="E68">
        <v>559.65290000000005</v>
      </c>
      <c r="F68">
        <v>33.33</v>
      </c>
      <c r="G68">
        <v>-2.2499999999922693E-2</v>
      </c>
      <c r="H68">
        <v>1</v>
      </c>
      <c r="I68">
        <v>5</v>
      </c>
    </row>
    <row r="69" spans="1:9">
      <c r="A69">
        <v>42700</v>
      </c>
      <c r="B69">
        <v>-5</v>
      </c>
      <c r="C69">
        <v>560.15290000000005</v>
      </c>
      <c r="D69">
        <v>-5.2294</v>
      </c>
      <c r="E69">
        <v>560</v>
      </c>
      <c r="F69">
        <v>1.5</v>
      </c>
      <c r="G69">
        <v>-0.15290000000004511</v>
      </c>
      <c r="H69">
        <v>1</v>
      </c>
      <c r="I69">
        <v>5</v>
      </c>
    </row>
    <row r="70" spans="1:9">
      <c r="A70">
        <v>42720</v>
      </c>
      <c r="B70">
        <v>-5</v>
      </c>
      <c r="C70">
        <v>560.65290000000005</v>
      </c>
      <c r="D70">
        <v>-5.9794</v>
      </c>
      <c r="E70">
        <v>560</v>
      </c>
      <c r="F70">
        <v>1.5</v>
      </c>
      <c r="G70">
        <v>-0.65290000000004511</v>
      </c>
      <c r="H70">
        <v>1</v>
      </c>
      <c r="I70">
        <v>5</v>
      </c>
    </row>
    <row r="71" spans="1:9">
      <c r="A71">
        <v>42740</v>
      </c>
      <c r="B71">
        <v>-5</v>
      </c>
      <c r="C71">
        <v>561.15290000000005</v>
      </c>
      <c r="D71">
        <v>-6.7294</v>
      </c>
      <c r="E71">
        <v>560</v>
      </c>
      <c r="F71">
        <v>1.5</v>
      </c>
      <c r="G71">
        <v>-1.1529000000000451</v>
      </c>
      <c r="H71">
        <v>1</v>
      </c>
      <c r="I71">
        <v>5</v>
      </c>
    </row>
    <row r="72" spans="1:9">
      <c r="A72">
        <v>42754.718999999997</v>
      </c>
      <c r="B72">
        <v>-5</v>
      </c>
      <c r="C72">
        <v>561.52089999999998</v>
      </c>
      <c r="D72">
        <v>-7.2812999999999999</v>
      </c>
      <c r="E72">
        <v>560</v>
      </c>
      <c r="F72">
        <v>1.5</v>
      </c>
      <c r="G72">
        <v>-1.5208999999999833</v>
      </c>
      <c r="H72">
        <v>1</v>
      </c>
      <c r="I72">
        <v>5</v>
      </c>
    </row>
    <row r="73" spans="1:9">
      <c r="A73">
        <v>42760</v>
      </c>
      <c r="B73">
        <v>-5</v>
      </c>
      <c r="C73">
        <v>561.69140000000004</v>
      </c>
      <c r="D73">
        <v>-7.5370999999999997</v>
      </c>
      <c r="E73">
        <v>560</v>
      </c>
      <c r="F73">
        <v>1.5</v>
      </c>
      <c r="G73">
        <v>-1.6914000000000442</v>
      </c>
      <c r="H73">
        <v>1</v>
      </c>
      <c r="I73">
        <v>5</v>
      </c>
    </row>
    <row r="74" spans="1:9">
      <c r="A74">
        <v>42780</v>
      </c>
      <c r="B74">
        <v>-5.9</v>
      </c>
      <c r="C74">
        <v>562.39890000000003</v>
      </c>
      <c r="D74">
        <v>-7.3249000000000004</v>
      </c>
      <c r="E74">
        <v>565.24869999999999</v>
      </c>
      <c r="F74">
        <v>-0.5</v>
      </c>
      <c r="G74">
        <v>2.8497999999999593</v>
      </c>
      <c r="H74">
        <v>1</v>
      </c>
      <c r="I74">
        <v>-5</v>
      </c>
    </row>
    <row r="75" spans="1:9">
      <c r="A75">
        <v>42789.718999999997</v>
      </c>
      <c r="B75">
        <v>-5.9</v>
      </c>
      <c r="C75">
        <v>562.78790000000004</v>
      </c>
      <c r="D75">
        <v>-9.2340999999999998</v>
      </c>
      <c r="E75">
        <v>569.45609999999999</v>
      </c>
      <c r="F75">
        <v>-0.5</v>
      </c>
      <c r="G75">
        <v>6.6681999999999562</v>
      </c>
      <c r="H75">
        <v>1</v>
      </c>
      <c r="I75">
        <v>-5</v>
      </c>
    </row>
    <row r="76" spans="1:9">
      <c r="A76">
        <v>42800</v>
      </c>
      <c r="B76">
        <v>-5.9</v>
      </c>
      <c r="C76">
        <v>563.15650000000005</v>
      </c>
      <c r="D76">
        <v>-9.3216999999999999</v>
      </c>
      <c r="E76">
        <v>570</v>
      </c>
      <c r="F76">
        <v>-0.5</v>
      </c>
      <c r="G76">
        <v>6.8434999999999491</v>
      </c>
      <c r="H76">
        <v>1</v>
      </c>
      <c r="I76">
        <v>-5</v>
      </c>
    </row>
    <row r="77" spans="1:9">
      <c r="A77">
        <v>42820</v>
      </c>
      <c r="B77">
        <v>-5.9</v>
      </c>
      <c r="C77">
        <v>563.9683</v>
      </c>
      <c r="D77">
        <v>-8.9158000000000008</v>
      </c>
      <c r="E77">
        <v>570</v>
      </c>
      <c r="F77">
        <v>-0.5</v>
      </c>
      <c r="G77">
        <v>6.0317000000000007</v>
      </c>
      <c r="H77">
        <v>1</v>
      </c>
      <c r="I77">
        <v>-5</v>
      </c>
    </row>
    <row r="78" spans="1:9">
      <c r="A78">
        <v>42836.612000000001</v>
      </c>
      <c r="B78">
        <v>-5.9</v>
      </c>
      <c r="C78">
        <v>564.73760000000004</v>
      </c>
      <c r="D78">
        <v>-8.5312000000000001</v>
      </c>
      <c r="E78">
        <v>570</v>
      </c>
      <c r="F78">
        <v>-0.5</v>
      </c>
      <c r="G78">
        <v>5.2623999999999569</v>
      </c>
      <c r="H78">
        <v>1</v>
      </c>
      <c r="I78">
        <v>-5</v>
      </c>
    </row>
    <row r="79" spans="1:9">
      <c r="A79">
        <v>42840</v>
      </c>
      <c r="B79">
        <v>-5.9</v>
      </c>
      <c r="C79">
        <v>564.90509999999995</v>
      </c>
      <c r="D79">
        <v>-8.4474</v>
      </c>
      <c r="E79">
        <v>570</v>
      </c>
      <c r="F79">
        <v>-0.5</v>
      </c>
      <c r="G79">
        <v>5.0949000000000524</v>
      </c>
      <c r="H79">
        <v>1</v>
      </c>
      <c r="I79">
        <v>-5</v>
      </c>
    </row>
    <row r="80" spans="1:9">
      <c r="A80">
        <v>42860</v>
      </c>
      <c r="B80">
        <v>-5.9</v>
      </c>
      <c r="C80">
        <v>565.96690000000001</v>
      </c>
      <c r="D80">
        <v>-7.9165000000000001</v>
      </c>
      <c r="E80">
        <v>570</v>
      </c>
      <c r="F80">
        <v>-0.5</v>
      </c>
      <c r="G80">
        <v>4.0330999999999904</v>
      </c>
      <c r="H80">
        <v>1</v>
      </c>
      <c r="I80">
        <v>-5</v>
      </c>
    </row>
    <row r="81" spans="1:9">
      <c r="A81">
        <v>42880</v>
      </c>
      <c r="B81">
        <v>-5.9</v>
      </c>
      <c r="C81">
        <v>567.15369999999996</v>
      </c>
      <c r="D81">
        <v>-7.3231000000000002</v>
      </c>
      <c r="E81">
        <v>570</v>
      </c>
      <c r="F81">
        <v>-0.5</v>
      </c>
      <c r="G81">
        <v>2.846300000000042</v>
      </c>
      <c r="H81">
        <v>1</v>
      </c>
      <c r="I81">
        <v>-5</v>
      </c>
    </row>
    <row r="82" spans="1:9">
      <c r="A82">
        <v>42883.506000000001</v>
      </c>
      <c r="B82">
        <v>-5.9</v>
      </c>
      <c r="C82">
        <v>567.37260000000003</v>
      </c>
      <c r="D82">
        <v>-7.2137000000000002</v>
      </c>
      <c r="E82">
        <v>570</v>
      </c>
      <c r="F82">
        <v>-0.5</v>
      </c>
      <c r="G82">
        <v>2.627399999999966</v>
      </c>
      <c r="H82">
        <v>1</v>
      </c>
      <c r="I82">
        <v>-5</v>
      </c>
    </row>
    <row r="83" spans="1:9">
      <c r="A83">
        <v>42900</v>
      </c>
      <c r="B83">
        <v>-5.9</v>
      </c>
      <c r="C83">
        <v>568.28219999999999</v>
      </c>
      <c r="D83">
        <v>-6.7588999999999997</v>
      </c>
      <c r="E83">
        <v>570</v>
      </c>
      <c r="F83">
        <v>-0.5</v>
      </c>
      <c r="G83">
        <v>1.7178000000000111</v>
      </c>
      <c r="H83">
        <v>1</v>
      </c>
      <c r="I83">
        <v>-5</v>
      </c>
    </row>
    <row r="84" spans="1:9">
      <c r="A84">
        <v>42918.506000000001</v>
      </c>
      <c r="B84">
        <v>-5.9</v>
      </c>
      <c r="C84">
        <v>569.30269999999996</v>
      </c>
      <c r="D84">
        <v>-6.2485999999999997</v>
      </c>
      <c r="E84">
        <v>570</v>
      </c>
      <c r="F84">
        <v>-0.5</v>
      </c>
      <c r="G84">
        <v>0.69730000000004111</v>
      </c>
      <c r="H84">
        <v>1</v>
      </c>
      <c r="I84">
        <v>-5</v>
      </c>
    </row>
    <row r="85" spans="1:9">
      <c r="A85">
        <v>42920</v>
      </c>
      <c r="B85">
        <v>-5.9</v>
      </c>
      <c r="C85">
        <v>569.39599999999996</v>
      </c>
      <c r="D85">
        <v>-6.202</v>
      </c>
      <c r="E85">
        <v>570</v>
      </c>
      <c r="F85">
        <v>-0.5</v>
      </c>
      <c r="G85">
        <v>0.60400000000004184</v>
      </c>
      <c r="H85">
        <v>1</v>
      </c>
      <c r="I85">
        <v>-5</v>
      </c>
    </row>
    <row r="86" spans="1:9">
      <c r="A86">
        <v>42940</v>
      </c>
      <c r="B86">
        <v>-5</v>
      </c>
      <c r="C86">
        <v>570.64459999999997</v>
      </c>
      <c r="D86">
        <v>-7.1700999999999997</v>
      </c>
      <c r="E86">
        <v>569.1979</v>
      </c>
      <c r="F86">
        <v>1.5</v>
      </c>
      <c r="G86">
        <v>-1.4466999999999643</v>
      </c>
      <c r="H86">
        <v>1</v>
      </c>
      <c r="I86">
        <v>5</v>
      </c>
    </row>
    <row r="87" spans="1:9">
      <c r="A87">
        <v>42960</v>
      </c>
      <c r="B87">
        <v>-5</v>
      </c>
      <c r="C87">
        <v>571.89319999999998</v>
      </c>
      <c r="D87">
        <v>-13.8873</v>
      </c>
      <c r="E87">
        <v>565.9683</v>
      </c>
      <c r="F87">
        <v>1.5</v>
      </c>
      <c r="G87">
        <v>-5.9248999999999796</v>
      </c>
      <c r="H87">
        <v>1</v>
      </c>
      <c r="I87">
        <v>5</v>
      </c>
    </row>
    <row r="88" spans="1:9">
      <c r="A88">
        <v>42980</v>
      </c>
      <c r="B88">
        <v>-18.5</v>
      </c>
      <c r="C88">
        <v>565.14179999999999</v>
      </c>
      <c r="D88">
        <v>-22.771899999999999</v>
      </c>
      <c r="E88">
        <v>562.70069999999998</v>
      </c>
      <c r="F88">
        <v>1.75</v>
      </c>
      <c r="G88">
        <v>-2.4411000000000058</v>
      </c>
      <c r="H88">
        <v>1</v>
      </c>
      <c r="I88">
        <v>5</v>
      </c>
    </row>
    <row r="89" spans="1:9">
      <c r="A89">
        <v>42987.165999999997</v>
      </c>
      <c r="B89">
        <v>-18.5</v>
      </c>
      <c r="C89">
        <v>565.58920000000001</v>
      </c>
      <c r="D89">
        <v>-25.914899999999999</v>
      </c>
      <c r="E89">
        <v>561.35209999999995</v>
      </c>
      <c r="F89">
        <v>1.75</v>
      </c>
      <c r="G89">
        <v>-4.2371000000000549</v>
      </c>
      <c r="H89">
        <v>1</v>
      </c>
      <c r="I89">
        <v>5</v>
      </c>
    </row>
    <row r="90" spans="1:9">
      <c r="A90">
        <v>43000</v>
      </c>
      <c r="B90">
        <v>-18.5</v>
      </c>
      <c r="C90">
        <v>566.3904</v>
      </c>
      <c r="D90">
        <v>-31.283899999999999</v>
      </c>
      <c r="E90">
        <v>559.08540000000005</v>
      </c>
      <c r="F90">
        <v>1.75</v>
      </c>
      <c r="G90">
        <v>-7.30499999999995</v>
      </c>
      <c r="H90">
        <v>1</v>
      </c>
      <c r="I90">
        <v>5</v>
      </c>
    </row>
    <row r="91" spans="1:9">
      <c r="A91">
        <v>43020</v>
      </c>
      <c r="B91">
        <v>-18.5</v>
      </c>
      <c r="C91">
        <v>567.63900000000001</v>
      </c>
      <c r="D91">
        <v>-38.203299999999999</v>
      </c>
      <c r="E91">
        <v>556.38</v>
      </c>
      <c r="F91">
        <v>1.75</v>
      </c>
      <c r="G91">
        <v>-11.259000000000015</v>
      </c>
      <c r="H91">
        <v>1</v>
      </c>
      <c r="I91">
        <v>5</v>
      </c>
    </row>
    <row r="92" spans="1:9">
      <c r="A92">
        <v>43040</v>
      </c>
      <c r="B92">
        <v>-41</v>
      </c>
      <c r="C92">
        <v>556.8877</v>
      </c>
      <c r="D92">
        <v>-45.416800000000002</v>
      </c>
      <c r="E92">
        <v>554.67930000000001</v>
      </c>
      <c r="F92">
        <v>2</v>
      </c>
      <c r="G92">
        <v>-2.2083999999999833</v>
      </c>
      <c r="H92">
        <v>1</v>
      </c>
      <c r="I92">
        <v>5</v>
      </c>
    </row>
    <row r="93" spans="1:9">
      <c r="A93">
        <v>43060</v>
      </c>
      <c r="B93">
        <v>-41</v>
      </c>
      <c r="C93">
        <v>558.13630000000001</v>
      </c>
      <c r="D93">
        <v>-48.986899999999999</v>
      </c>
      <c r="E93">
        <v>554.14279999999997</v>
      </c>
      <c r="F93">
        <v>2</v>
      </c>
      <c r="G93">
        <v>-3.99350000000004</v>
      </c>
      <c r="H93">
        <v>1</v>
      </c>
      <c r="I93">
        <v>5</v>
      </c>
    </row>
    <row r="94" spans="1:9">
      <c r="A94">
        <v>43064.686000000002</v>
      </c>
      <c r="B94">
        <v>-41</v>
      </c>
      <c r="C94">
        <v>558.42880000000002</v>
      </c>
      <c r="D94">
        <v>-49.171399999999998</v>
      </c>
      <c r="E94">
        <v>554.34310000000005</v>
      </c>
      <c r="F94">
        <v>2</v>
      </c>
      <c r="G94">
        <v>-4.0856999999999744</v>
      </c>
      <c r="H94">
        <v>1</v>
      </c>
      <c r="I94">
        <v>5</v>
      </c>
    </row>
    <row r="95" spans="1:9">
      <c r="A95">
        <v>43080</v>
      </c>
      <c r="B95">
        <v>-41</v>
      </c>
      <c r="C95">
        <v>559.38490000000002</v>
      </c>
      <c r="D95">
        <v>-48.512300000000003</v>
      </c>
      <c r="E95">
        <v>555.62869999999998</v>
      </c>
      <c r="F95">
        <v>2</v>
      </c>
      <c r="G95">
        <v>-3.7562000000000353</v>
      </c>
      <c r="H95">
        <v>1</v>
      </c>
      <c r="I95">
        <v>5</v>
      </c>
    </row>
    <row r="96" spans="1:9">
      <c r="A96">
        <v>43100</v>
      </c>
      <c r="B96">
        <v>-41</v>
      </c>
      <c r="C96">
        <v>560.63350000000003</v>
      </c>
      <c r="D96">
        <v>-44.533200000000001</v>
      </c>
      <c r="E96">
        <v>558.86689999999999</v>
      </c>
      <c r="F96">
        <v>2</v>
      </c>
      <c r="G96">
        <v>-1.7666000000000395</v>
      </c>
      <c r="H96">
        <v>1</v>
      </c>
      <c r="I96">
        <v>5</v>
      </c>
    </row>
    <row r="97" spans="1:9">
      <c r="A97">
        <v>43120</v>
      </c>
      <c r="B97">
        <v>-41</v>
      </c>
      <c r="C97">
        <v>561.88210000000004</v>
      </c>
      <c r="D97">
        <v>-44.764200000000002</v>
      </c>
      <c r="E97">
        <v>560</v>
      </c>
      <c r="F97">
        <v>2</v>
      </c>
      <c r="G97">
        <v>-1.8821000000000367</v>
      </c>
      <c r="H97">
        <v>1</v>
      </c>
      <c r="I97">
        <v>5</v>
      </c>
    </row>
    <row r="98" spans="1:9">
      <c r="A98">
        <v>43140</v>
      </c>
      <c r="B98">
        <v>-41</v>
      </c>
      <c r="C98">
        <v>563.13070000000005</v>
      </c>
      <c r="D98">
        <v>-43.962899999999998</v>
      </c>
      <c r="E98">
        <v>561.64930000000004</v>
      </c>
      <c r="F98">
        <v>2</v>
      </c>
      <c r="G98">
        <v>-1.4814000000000078</v>
      </c>
      <c r="H98">
        <v>1</v>
      </c>
      <c r="I98">
        <v>5</v>
      </c>
    </row>
    <row r="99" spans="1:9">
      <c r="A99">
        <v>43142.205999999998</v>
      </c>
      <c r="B99">
        <v>-18.5</v>
      </c>
      <c r="C99">
        <v>575.26850000000002</v>
      </c>
      <c r="D99">
        <v>-38.681899999999999</v>
      </c>
      <c r="E99">
        <v>563.73599999999999</v>
      </c>
      <c r="F99">
        <v>1.75</v>
      </c>
      <c r="G99">
        <v>-11.532500000000027</v>
      </c>
      <c r="H99">
        <v>1</v>
      </c>
      <c r="I99">
        <v>5</v>
      </c>
    </row>
    <row r="100" spans="1:9">
      <c r="A100">
        <v>43145.58</v>
      </c>
      <c r="B100">
        <v>-18.5</v>
      </c>
      <c r="C100">
        <v>575.47910000000002</v>
      </c>
      <c r="D100">
        <v>-34.851199999999999</v>
      </c>
      <c r="E100">
        <v>566.13559999999995</v>
      </c>
      <c r="F100">
        <v>1.75</v>
      </c>
      <c r="G100">
        <v>-9.3435000000000628</v>
      </c>
      <c r="H100">
        <v>1</v>
      </c>
      <c r="I100">
        <v>5</v>
      </c>
    </row>
    <row r="101" spans="1:9">
      <c r="A101">
        <v>41647.86</v>
      </c>
      <c r="B101">
        <v>5.9</v>
      </c>
      <c r="C101">
        <v>543.35609999999997</v>
      </c>
      <c r="D101">
        <v>7.6432000000000002</v>
      </c>
      <c r="E101">
        <v>546.84259999999995</v>
      </c>
      <c r="F101">
        <v>0.5</v>
      </c>
      <c r="G101">
        <v>3.4864999999999782</v>
      </c>
      <c r="H101">
        <v>2</v>
      </c>
      <c r="I101">
        <v>-5</v>
      </c>
    </row>
    <row r="102" spans="1:9">
      <c r="A102">
        <v>41660</v>
      </c>
      <c r="B102">
        <v>5.9</v>
      </c>
      <c r="C102">
        <v>543.4896</v>
      </c>
      <c r="D102">
        <v>7.8295000000000003</v>
      </c>
      <c r="E102">
        <v>547.34860000000003</v>
      </c>
      <c r="F102">
        <v>0.5</v>
      </c>
      <c r="G102">
        <v>3.8590000000000373</v>
      </c>
      <c r="H102">
        <v>2</v>
      </c>
      <c r="I102">
        <v>-5</v>
      </c>
    </row>
    <row r="103" spans="1:9">
      <c r="A103">
        <v>41680</v>
      </c>
      <c r="B103">
        <v>5.9</v>
      </c>
      <c r="C103">
        <v>543.70960000000002</v>
      </c>
      <c r="D103">
        <v>7.1441999999999997</v>
      </c>
      <c r="E103">
        <v>546.1979</v>
      </c>
      <c r="F103">
        <v>0.5</v>
      </c>
      <c r="G103">
        <v>2.4882999999999811</v>
      </c>
      <c r="H103">
        <v>2</v>
      </c>
      <c r="I103">
        <v>-5</v>
      </c>
    </row>
    <row r="104" spans="1:9">
      <c r="A104">
        <v>41696.603999999999</v>
      </c>
      <c r="B104">
        <v>5.9</v>
      </c>
      <c r="C104">
        <v>543.89980000000003</v>
      </c>
      <c r="D104">
        <v>6.5353000000000003</v>
      </c>
      <c r="E104">
        <v>545.17039999999997</v>
      </c>
      <c r="F104">
        <v>0.5</v>
      </c>
      <c r="G104">
        <v>1.2705999999999449</v>
      </c>
      <c r="H104">
        <v>2</v>
      </c>
      <c r="I104">
        <v>-5</v>
      </c>
    </row>
    <row r="105" spans="1:9">
      <c r="A105">
        <v>41700</v>
      </c>
      <c r="B105">
        <v>5.9969999999999999</v>
      </c>
      <c r="C105">
        <v>543.93520000000001</v>
      </c>
      <c r="D105">
        <v>6.57</v>
      </c>
      <c r="E105">
        <v>545.08109999999999</v>
      </c>
      <c r="F105">
        <v>0.5</v>
      </c>
      <c r="G105">
        <v>1.1458999999999833</v>
      </c>
      <c r="H105">
        <v>2</v>
      </c>
      <c r="I105">
        <v>-5.0970000000000004</v>
      </c>
    </row>
    <row r="106" spans="1:9">
      <c r="A106">
        <v>41720</v>
      </c>
      <c r="B106">
        <v>5.6684999999999999</v>
      </c>
      <c r="C106">
        <v>544.10530000000006</v>
      </c>
      <c r="D106">
        <v>5.7149999999999999</v>
      </c>
      <c r="E106">
        <v>544.07429999999999</v>
      </c>
      <c r="F106">
        <v>-1.5</v>
      </c>
      <c r="G106">
        <v>-3.1000000000062755E-2</v>
      </c>
      <c r="H106">
        <v>2</v>
      </c>
      <c r="I106">
        <v>5.6680000000000001</v>
      </c>
    </row>
    <row r="107" spans="1:9">
      <c r="A107">
        <v>41731.603999999999</v>
      </c>
      <c r="B107">
        <v>6</v>
      </c>
      <c r="C107">
        <v>544.08479999999997</v>
      </c>
      <c r="D107">
        <v>8.0802999999999994</v>
      </c>
      <c r="E107">
        <v>542.6979</v>
      </c>
      <c r="F107">
        <v>-1.5</v>
      </c>
      <c r="G107">
        <v>-1.3868999999999687</v>
      </c>
      <c r="H107">
        <v>2</v>
      </c>
      <c r="I107">
        <v>6</v>
      </c>
    </row>
    <row r="108" spans="1:9">
      <c r="A108">
        <v>41740</v>
      </c>
      <c r="B108">
        <v>6</v>
      </c>
      <c r="C108">
        <v>544.1771</v>
      </c>
      <c r="D108">
        <v>9.4591999999999992</v>
      </c>
      <c r="E108">
        <v>541.87099999999998</v>
      </c>
      <c r="F108">
        <v>-1.5</v>
      </c>
      <c r="G108">
        <v>-2.3061000000000149</v>
      </c>
      <c r="H108">
        <v>2</v>
      </c>
      <c r="I108">
        <v>6</v>
      </c>
    </row>
    <row r="109" spans="1:9">
      <c r="A109">
        <v>41757.095999999998</v>
      </c>
      <c r="B109">
        <v>6</v>
      </c>
      <c r="C109">
        <v>544.36519999999996</v>
      </c>
      <c r="D109">
        <v>10.984400000000001</v>
      </c>
      <c r="E109">
        <v>541.04219999999998</v>
      </c>
      <c r="F109">
        <v>-1.5</v>
      </c>
      <c r="G109">
        <v>-3.3229999999999791</v>
      </c>
      <c r="H109">
        <v>2</v>
      </c>
      <c r="I109">
        <v>6</v>
      </c>
    </row>
    <row r="110" spans="1:9">
      <c r="A110">
        <v>41760</v>
      </c>
      <c r="B110">
        <v>6</v>
      </c>
      <c r="C110">
        <v>544.39710000000002</v>
      </c>
      <c r="D110">
        <v>10.9086</v>
      </c>
      <c r="E110">
        <v>541.12469999999996</v>
      </c>
      <c r="F110">
        <v>-1.5</v>
      </c>
      <c r="G110">
        <v>-3.2724000000000615</v>
      </c>
      <c r="H110">
        <v>2</v>
      </c>
      <c r="I110">
        <v>6</v>
      </c>
    </row>
    <row r="111" spans="1:9">
      <c r="A111">
        <v>41780</v>
      </c>
      <c r="B111">
        <v>6</v>
      </c>
      <c r="C111">
        <v>544.61710000000005</v>
      </c>
      <c r="D111">
        <v>12.125</v>
      </c>
      <c r="E111">
        <v>540.53380000000004</v>
      </c>
      <c r="F111">
        <v>-1.5</v>
      </c>
      <c r="G111">
        <v>-4.0833000000000084</v>
      </c>
      <c r="H111">
        <v>2</v>
      </c>
      <c r="I111">
        <v>6</v>
      </c>
    </row>
    <row r="112" spans="1:9">
      <c r="A112">
        <v>41782.587</v>
      </c>
      <c r="B112">
        <v>6</v>
      </c>
      <c r="C112">
        <v>544.64559999999994</v>
      </c>
      <c r="D112">
        <v>12.224</v>
      </c>
      <c r="E112">
        <v>540.49630000000002</v>
      </c>
      <c r="F112">
        <v>-1.5</v>
      </c>
      <c r="G112">
        <v>-4.1492999999999256</v>
      </c>
      <c r="H112">
        <v>2</v>
      </c>
      <c r="I112">
        <v>6</v>
      </c>
    </row>
    <row r="113" spans="1:15">
      <c r="A113">
        <v>41800</v>
      </c>
      <c r="B113">
        <v>5.5025000000000004</v>
      </c>
      <c r="C113">
        <v>544.99519999999995</v>
      </c>
      <c r="D113">
        <v>12.1561</v>
      </c>
      <c r="E113">
        <v>540.55949999999996</v>
      </c>
      <c r="F113">
        <v>-1.5</v>
      </c>
      <c r="G113">
        <v>-4.4356999999999971</v>
      </c>
      <c r="H113">
        <v>2</v>
      </c>
      <c r="I113">
        <v>5.5019999999999998</v>
      </c>
      <c r="K113" s="1"/>
      <c r="L113" s="1"/>
      <c r="M113" s="1"/>
      <c r="N113" s="1"/>
      <c r="O113" s="9"/>
    </row>
    <row r="114" spans="1:15">
      <c r="A114">
        <v>41817.587</v>
      </c>
      <c r="B114">
        <v>5</v>
      </c>
      <c r="C114">
        <v>545.30809999999997</v>
      </c>
      <c r="D114">
        <v>10.744300000000001</v>
      </c>
      <c r="E114">
        <v>541.47860000000003</v>
      </c>
      <c r="F114">
        <v>-1.5</v>
      </c>
      <c r="G114">
        <v>-3.8294999999999391</v>
      </c>
      <c r="H114">
        <v>2</v>
      </c>
      <c r="I114">
        <v>5</v>
      </c>
    </row>
    <row r="115" spans="1:15">
      <c r="A115">
        <v>41820</v>
      </c>
      <c r="B115">
        <v>5</v>
      </c>
      <c r="C115">
        <v>545.34929999999997</v>
      </c>
      <c r="D115">
        <v>10.2593</v>
      </c>
      <c r="E115">
        <v>541.84310000000005</v>
      </c>
      <c r="F115">
        <v>-1.5</v>
      </c>
      <c r="G115">
        <v>-3.5061999999999216</v>
      </c>
      <c r="H115">
        <v>2</v>
      </c>
      <c r="I115">
        <v>5</v>
      </c>
    </row>
    <row r="116" spans="1:15">
      <c r="A116">
        <v>41840</v>
      </c>
      <c r="B116">
        <v>5</v>
      </c>
      <c r="C116">
        <v>545.65930000000003</v>
      </c>
      <c r="D116">
        <v>7.6029999999999998</v>
      </c>
      <c r="E116">
        <v>543.92399999999998</v>
      </c>
      <c r="F116">
        <v>-1.5</v>
      </c>
      <c r="G116">
        <v>-1.735300000000052</v>
      </c>
      <c r="H116">
        <v>2</v>
      </c>
      <c r="I116">
        <v>5</v>
      </c>
    </row>
    <row r="117" spans="1:15">
      <c r="A117">
        <v>41852.587</v>
      </c>
      <c r="B117">
        <v>5.9</v>
      </c>
      <c r="C117">
        <v>545.79200000000003</v>
      </c>
      <c r="D117">
        <v>6.1303999999999998</v>
      </c>
      <c r="E117">
        <v>546.2527</v>
      </c>
      <c r="F117">
        <v>0.5</v>
      </c>
      <c r="G117">
        <v>0.46069999999997435</v>
      </c>
      <c r="H117">
        <v>2</v>
      </c>
      <c r="I117">
        <v>-5</v>
      </c>
    </row>
    <row r="118" spans="1:15">
      <c r="A118">
        <v>41860</v>
      </c>
      <c r="B118">
        <v>5.9</v>
      </c>
      <c r="C118">
        <v>545.80119999999999</v>
      </c>
      <c r="D118">
        <v>6.8007</v>
      </c>
      <c r="E118">
        <v>547.60260000000005</v>
      </c>
      <c r="F118">
        <v>0.5</v>
      </c>
      <c r="G118">
        <v>1.8014000000000578</v>
      </c>
      <c r="H118">
        <v>2</v>
      </c>
      <c r="I118">
        <v>-5</v>
      </c>
    </row>
    <row r="119" spans="1:15">
      <c r="A119">
        <v>41880</v>
      </c>
      <c r="B119">
        <v>5.9</v>
      </c>
      <c r="C119">
        <v>545.73760000000004</v>
      </c>
      <c r="D119">
        <v>8.0312000000000001</v>
      </c>
      <c r="E119">
        <v>550</v>
      </c>
      <c r="F119">
        <v>0.5</v>
      </c>
      <c r="G119">
        <v>4.2623999999999569</v>
      </c>
      <c r="H119">
        <v>2</v>
      </c>
      <c r="I119">
        <v>-5</v>
      </c>
    </row>
    <row r="120" spans="1:15">
      <c r="A120">
        <v>41900</v>
      </c>
      <c r="B120">
        <v>5.9</v>
      </c>
      <c r="C120">
        <v>545.54499999999996</v>
      </c>
      <c r="D120">
        <v>8.1274999999999995</v>
      </c>
      <c r="E120">
        <v>550</v>
      </c>
      <c r="F120">
        <v>0.5</v>
      </c>
      <c r="G120">
        <v>4.4550000000000409</v>
      </c>
      <c r="H120">
        <v>2</v>
      </c>
      <c r="I120">
        <v>-5</v>
      </c>
    </row>
    <row r="121" spans="1:15">
      <c r="A121">
        <v>41920</v>
      </c>
      <c r="B121">
        <v>5.9</v>
      </c>
      <c r="C121">
        <v>545.22329999999999</v>
      </c>
      <c r="D121">
        <v>8.2882999999999996</v>
      </c>
      <c r="E121">
        <v>550</v>
      </c>
      <c r="F121">
        <v>0.5</v>
      </c>
      <c r="G121">
        <v>4.7767000000000053</v>
      </c>
      <c r="H121">
        <v>2</v>
      </c>
      <c r="I121">
        <v>-5</v>
      </c>
    </row>
    <row r="122" spans="1:15">
      <c r="A122">
        <v>41930.243000000002</v>
      </c>
      <c r="B122">
        <v>5.9</v>
      </c>
      <c r="C122">
        <v>545.0086</v>
      </c>
      <c r="D122">
        <v>8.3956999999999997</v>
      </c>
      <c r="E122">
        <v>550</v>
      </c>
      <c r="F122">
        <v>0.5</v>
      </c>
      <c r="G122">
        <v>4.9913999999999987</v>
      </c>
      <c r="H122">
        <v>2</v>
      </c>
      <c r="I122">
        <v>-5</v>
      </c>
    </row>
    <row r="123" spans="1:15">
      <c r="A123">
        <v>41940</v>
      </c>
      <c r="B123">
        <v>5.9</v>
      </c>
      <c r="C123">
        <v>544.77269999999999</v>
      </c>
      <c r="D123">
        <v>8.5137</v>
      </c>
      <c r="E123">
        <v>550</v>
      </c>
      <c r="F123">
        <v>0.5</v>
      </c>
      <c r="G123">
        <v>5.2273000000000138</v>
      </c>
      <c r="H123">
        <v>2</v>
      </c>
      <c r="I123">
        <v>-5</v>
      </c>
    </row>
    <row r="124" spans="1:15">
      <c r="A124">
        <v>41960</v>
      </c>
      <c r="B124">
        <v>5.9</v>
      </c>
      <c r="C124">
        <v>544.20050000000003</v>
      </c>
      <c r="D124">
        <v>8.7996999999999996</v>
      </c>
      <c r="E124">
        <v>550</v>
      </c>
      <c r="F124">
        <v>0.5</v>
      </c>
      <c r="G124">
        <v>5.7994999999999663</v>
      </c>
      <c r="H124">
        <v>2</v>
      </c>
      <c r="I124">
        <v>-5</v>
      </c>
    </row>
    <row r="125" spans="1:15">
      <c r="A125">
        <v>41980</v>
      </c>
      <c r="B125">
        <v>5.9</v>
      </c>
      <c r="C125">
        <v>543.60050000000001</v>
      </c>
      <c r="D125">
        <v>9.0998000000000001</v>
      </c>
      <c r="E125">
        <v>550</v>
      </c>
      <c r="F125">
        <v>0.5</v>
      </c>
      <c r="G125">
        <v>6.3994999999999891</v>
      </c>
      <c r="H125">
        <v>2</v>
      </c>
      <c r="I125">
        <v>-5</v>
      </c>
    </row>
    <row r="126" spans="1:15">
      <c r="A126">
        <v>42000</v>
      </c>
      <c r="B126">
        <v>5.9</v>
      </c>
      <c r="C126">
        <v>543.00049999999999</v>
      </c>
      <c r="D126">
        <v>8.4391999999999996</v>
      </c>
      <c r="E126">
        <v>548.0788</v>
      </c>
      <c r="F126">
        <v>0.5</v>
      </c>
      <c r="G126">
        <v>5.0783000000000129</v>
      </c>
      <c r="H126">
        <v>2</v>
      </c>
      <c r="I126">
        <v>-5</v>
      </c>
    </row>
    <row r="127" spans="1:15">
      <c r="A127">
        <v>42007.898999999998</v>
      </c>
      <c r="B127">
        <v>5</v>
      </c>
      <c r="C127">
        <v>542.76350000000002</v>
      </c>
      <c r="D127">
        <v>5.0079000000000002</v>
      </c>
      <c r="E127">
        <v>542.75819999999999</v>
      </c>
      <c r="F127">
        <v>-1.49</v>
      </c>
      <c r="G127">
        <v>-5.3000000000338332E-3</v>
      </c>
      <c r="H127">
        <v>2</v>
      </c>
      <c r="I127">
        <v>5</v>
      </c>
    </row>
    <row r="128" spans="1:15">
      <c r="A128">
        <v>42020</v>
      </c>
      <c r="B128">
        <v>5</v>
      </c>
      <c r="C128">
        <v>542.29759999999999</v>
      </c>
      <c r="D128">
        <v>10.6929</v>
      </c>
      <c r="E128">
        <v>538.50239999999997</v>
      </c>
      <c r="F128">
        <v>-1.5</v>
      </c>
      <c r="G128">
        <v>-3.7952000000000226</v>
      </c>
      <c r="H128">
        <v>2</v>
      </c>
      <c r="I128">
        <v>5</v>
      </c>
    </row>
    <row r="129" spans="1:10">
      <c r="A129">
        <v>42040</v>
      </c>
      <c r="B129">
        <v>5.6</v>
      </c>
      <c r="C129">
        <v>541.52760000000001</v>
      </c>
      <c r="D129">
        <v>5.7835999999999999</v>
      </c>
      <c r="E129">
        <v>537.85569999999996</v>
      </c>
      <c r="F129">
        <v>-0.05</v>
      </c>
      <c r="G129">
        <v>-3.6719000000000506</v>
      </c>
      <c r="H129">
        <v>2</v>
      </c>
      <c r="I129">
        <v>5</v>
      </c>
      <c r="J129" t="s">
        <v>3</v>
      </c>
    </row>
    <row r="130" spans="1:10">
      <c r="A130">
        <v>42042.898999999998</v>
      </c>
      <c r="B130">
        <v>5.6</v>
      </c>
      <c r="C130">
        <v>541.41600000000005</v>
      </c>
      <c r="D130">
        <v>5.7968999999999999</v>
      </c>
      <c r="E130">
        <v>537.47720000000004</v>
      </c>
      <c r="F130">
        <v>-0.05</v>
      </c>
      <c r="G130">
        <v>-3.9388000000000147</v>
      </c>
      <c r="H130">
        <v>2</v>
      </c>
      <c r="I130">
        <v>5</v>
      </c>
      <c r="J130" t="s">
        <v>3</v>
      </c>
    </row>
    <row r="131" spans="1:10">
      <c r="A131">
        <v>42060</v>
      </c>
      <c r="B131">
        <v>5.6</v>
      </c>
      <c r="C131">
        <v>541.0154</v>
      </c>
      <c r="D131">
        <v>5.8657000000000004</v>
      </c>
      <c r="E131">
        <v>535.70090000000005</v>
      </c>
      <c r="F131">
        <v>-0.05</v>
      </c>
      <c r="G131">
        <v>-5.3144999999999527</v>
      </c>
      <c r="H131">
        <v>2</v>
      </c>
      <c r="I131">
        <v>5</v>
      </c>
      <c r="J131" t="s">
        <v>3</v>
      </c>
    </row>
    <row r="132" spans="1:10">
      <c r="A132">
        <v>42080</v>
      </c>
      <c r="B132">
        <v>5.6</v>
      </c>
      <c r="C132">
        <v>540.91539999999998</v>
      </c>
      <c r="D132">
        <v>5.9558999999999997</v>
      </c>
      <c r="E132">
        <v>533.79729999999995</v>
      </c>
      <c r="F132">
        <v>-0.05</v>
      </c>
      <c r="G132">
        <v>-7.1181000000000267</v>
      </c>
      <c r="H132">
        <v>2</v>
      </c>
      <c r="I132">
        <v>5</v>
      </c>
      <c r="J132" t="s">
        <v>3</v>
      </c>
    </row>
    <row r="133" spans="1:10">
      <c r="A133">
        <v>42100</v>
      </c>
      <c r="B133">
        <v>18.5</v>
      </c>
      <c r="C133">
        <v>533.21540000000005</v>
      </c>
      <c r="D133">
        <v>24.126999999999999</v>
      </c>
      <c r="E133">
        <v>530</v>
      </c>
      <c r="F133">
        <v>-1.75</v>
      </c>
      <c r="G133">
        <v>-3.2154000000000451</v>
      </c>
      <c r="H133">
        <v>2</v>
      </c>
      <c r="I133">
        <v>5</v>
      </c>
    </row>
    <row r="134" spans="1:10">
      <c r="A134">
        <v>42120</v>
      </c>
      <c r="B134">
        <v>18.5</v>
      </c>
      <c r="C134">
        <v>533.91539999999998</v>
      </c>
      <c r="D134">
        <v>25.352</v>
      </c>
      <c r="E134">
        <v>530</v>
      </c>
      <c r="F134">
        <v>-1.75</v>
      </c>
      <c r="G134">
        <v>-3.9153999999999769</v>
      </c>
      <c r="H134">
        <v>2</v>
      </c>
      <c r="I134">
        <v>5</v>
      </c>
    </row>
    <row r="135" spans="1:10">
      <c r="A135">
        <v>42128.457999999999</v>
      </c>
      <c r="B135">
        <v>18.5</v>
      </c>
      <c r="C135">
        <v>534.33330000000001</v>
      </c>
      <c r="D135">
        <v>25.371500000000001</v>
      </c>
      <c r="E135">
        <v>530.4067</v>
      </c>
      <c r="F135">
        <v>-1.75</v>
      </c>
      <c r="G135">
        <v>-3.9266000000000076</v>
      </c>
      <c r="H135">
        <v>2</v>
      </c>
      <c r="I135">
        <v>5</v>
      </c>
    </row>
    <row r="136" spans="1:10">
      <c r="A136">
        <v>42140</v>
      </c>
      <c r="B136">
        <v>18.5</v>
      </c>
      <c r="C136">
        <v>534.91039999999998</v>
      </c>
      <c r="D136">
        <v>23.997800000000002</v>
      </c>
      <c r="E136">
        <v>531.76880000000006</v>
      </c>
      <c r="F136">
        <v>-1.75</v>
      </c>
      <c r="G136">
        <v>-3.1415999999999258</v>
      </c>
      <c r="H136">
        <v>2</v>
      </c>
      <c r="I136">
        <v>5</v>
      </c>
    </row>
    <row r="137" spans="1:10">
      <c r="A137">
        <v>42160</v>
      </c>
      <c r="B137">
        <v>18.5</v>
      </c>
      <c r="C137">
        <v>535.84</v>
      </c>
      <c r="D137">
        <v>24.476299999999998</v>
      </c>
      <c r="E137">
        <v>532.42499999999995</v>
      </c>
      <c r="F137">
        <v>-1.75</v>
      </c>
      <c r="G137">
        <v>-3.4150000000000773</v>
      </c>
      <c r="H137">
        <v>2</v>
      </c>
      <c r="I137">
        <v>5</v>
      </c>
    </row>
    <row r="138" spans="1:10">
      <c r="A138">
        <v>42163.457999999999</v>
      </c>
      <c r="B138">
        <v>18.5</v>
      </c>
      <c r="C138">
        <v>535.98329999999999</v>
      </c>
      <c r="D138">
        <v>24.361599999999999</v>
      </c>
      <c r="E138">
        <v>532.63379999999995</v>
      </c>
      <c r="F138">
        <v>-1.75</v>
      </c>
      <c r="G138">
        <v>-3.3495000000000346</v>
      </c>
      <c r="H138">
        <v>2</v>
      </c>
      <c r="I138">
        <v>5</v>
      </c>
    </row>
    <row r="139" spans="1:10">
      <c r="A139">
        <v>42180</v>
      </c>
      <c r="B139">
        <v>18.5</v>
      </c>
      <c r="C139">
        <v>536.81039999999996</v>
      </c>
      <c r="D139">
        <v>24.6877</v>
      </c>
      <c r="E139">
        <v>533.27449999999999</v>
      </c>
      <c r="F139">
        <v>-1.75</v>
      </c>
      <c r="G139">
        <v>-3.5358999999999696</v>
      </c>
      <c r="H139">
        <v>2</v>
      </c>
      <c r="I139">
        <v>5</v>
      </c>
    </row>
    <row r="140" spans="1:10">
      <c r="A140">
        <v>42200</v>
      </c>
      <c r="B140">
        <v>18.5</v>
      </c>
      <c r="C140">
        <v>537.81039999999996</v>
      </c>
      <c r="D140">
        <v>23.291799999999999</v>
      </c>
      <c r="E140">
        <v>535.07219999999995</v>
      </c>
      <c r="F140">
        <v>-1.75</v>
      </c>
      <c r="G140">
        <v>-2.7382000000000062</v>
      </c>
      <c r="H140">
        <v>2</v>
      </c>
      <c r="I140">
        <v>5</v>
      </c>
    </row>
    <row r="141" spans="1:10">
      <c r="A141">
        <v>42219.784</v>
      </c>
      <c r="B141">
        <v>18.5</v>
      </c>
      <c r="C141">
        <v>538.79960000000005</v>
      </c>
      <c r="D141">
        <v>19.5487</v>
      </c>
      <c r="E141">
        <v>538.20039999999995</v>
      </c>
      <c r="F141">
        <v>-1.75</v>
      </c>
      <c r="G141">
        <v>-0.59920000000010987</v>
      </c>
      <c r="H141">
        <v>2</v>
      </c>
      <c r="I141">
        <v>5</v>
      </c>
    </row>
    <row r="142" spans="1:10">
      <c r="A142">
        <v>42220</v>
      </c>
      <c r="B142">
        <v>18.5</v>
      </c>
      <c r="C142">
        <v>538.81039999999996</v>
      </c>
      <c r="D142">
        <v>19.514700000000001</v>
      </c>
      <c r="E142">
        <v>538.23059999999998</v>
      </c>
      <c r="F142">
        <v>-1.75</v>
      </c>
      <c r="G142">
        <v>-0.57979999999997744</v>
      </c>
      <c r="H142">
        <v>2</v>
      </c>
      <c r="I142">
        <v>5</v>
      </c>
    </row>
    <row r="143" spans="1:10">
      <c r="A143">
        <v>42240</v>
      </c>
      <c r="B143">
        <v>5</v>
      </c>
      <c r="C143">
        <v>547.79809999999998</v>
      </c>
      <c r="D143">
        <v>15.748799999999999</v>
      </c>
      <c r="E143">
        <v>540.63220000000001</v>
      </c>
      <c r="F143">
        <v>-1.5</v>
      </c>
      <c r="G143">
        <v>-7.1658999999999651</v>
      </c>
      <c r="H143">
        <v>2</v>
      </c>
      <c r="I143">
        <v>5</v>
      </c>
    </row>
    <row r="144" spans="1:10">
      <c r="A144">
        <v>42260</v>
      </c>
      <c r="B144">
        <v>5</v>
      </c>
      <c r="C144">
        <v>548.6771</v>
      </c>
      <c r="D144">
        <v>11.925000000000001</v>
      </c>
      <c r="E144">
        <v>544.06039999999996</v>
      </c>
      <c r="F144">
        <v>-1.5</v>
      </c>
      <c r="G144">
        <v>-4.6167000000000371</v>
      </c>
      <c r="H144">
        <v>2</v>
      </c>
      <c r="I144">
        <v>5</v>
      </c>
    </row>
    <row r="145" spans="1:9">
      <c r="A145">
        <v>42276.110999999997</v>
      </c>
      <c r="B145">
        <v>5</v>
      </c>
      <c r="C145">
        <v>549.29139999999995</v>
      </c>
      <c r="D145">
        <v>9.3901000000000003</v>
      </c>
      <c r="E145">
        <v>546.3646</v>
      </c>
      <c r="F145">
        <v>-1.5</v>
      </c>
      <c r="G145">
        <v>-2.9267999999999574</v>
      </c>
      <c r="H145">
        <v>2</v>
      </c>
      <c r="I145">
        <v>5</v>
      </c>
    </row>
    <row r="146" spans="1:9">
      <c r="A146">
        <v>42280</v>
      </c>
      <c r="B146">
        <v>5</v>
      </c>
      <c r="C146">
        <v>549.46040000000005</v>
      </c>
      <c r="D146">
        <v>8.7621000000000002</v>
      </c>
      <c r="E146">
        <v>546.95230000000004</v>
      </c>
      <c r="F146">
        <v>-1.5</v>
      </c>
      <c r="G146">
        <v>-2.5081000000000131</v>
      </c>
      <c r="H146">
        <v>2</v>
      </c>
      <c r="I146">
        <v>5</v>
      </c>
    </row>
    <row r="147" spans="1:9">
      <c r="A147">
        <v>42300</v>
      </c>
      <c r="B147">
        <v>5</v>
      </c>
      <c r="C147">
        <v>550.1481</v>
      </c>
      <c r="D147">
        <v>5.2458999999999998</v>
      </c>
      <c r="E147">
        <v>549.98410000000001</v>
      </c>
      <c r="F147">
        <v>-1.5</v>
      </c>
      <c r="G147">
        <v>-0.16399999999998727</v>
      </c>
      <c r="H147">
        <v>2</v>
      </c>
      <c r="I147">
        <v>5</v>
      </c>
    </row>
    <row r="148" spans="1:9">
      <c r="A148">
        <v>42311.110999999997</v>
      </c>
      <c r="B148">
        <v>5.9</v>
      </c>
      <c r="C148">
        <v>550.43820000000005</v>
      </c>
      <c r="D148">
        <v>7.0006000000000004</v>
      </c>
      <c r="E148">
        <v>552.63940000000002</v>
      </c>
      <c r="F148">
        <v>0.5</v>
      </c>
      <c r="G148">
        <v>2.2011999999999716</v>
      </c>
      <c r="H148">
        <v>2</v>
      </c>
      <c r="I148">
        <v>-5</v>
      </c>
    </row>
    <row r="149" spans="1:9">
      <c r="A149">
        <v>42320</v>
      </c>
      <c r="B149">
        <v>5.9</v>
      </c>
      <c r="C149">
        <v>550.65290000000005</v>
      </c>
      <c r="D149">
        <v>6.4211</v>
      </c>
      <c r="E149">
        <v>551.69510000000002</v>
      </c>
      <c r="F149">
        <v>0.5</v>
      </c>
      <c r="G149">
        <v>1.0421999999999798</v>
      </c>
      <c r="H149">
        <v>2</v>
      </c>
      <c r="I149">
        <v>-5</v>
      </c>
    </row>
    <row r="150" spans="1:9">
      <c r="A150">
        <v>42340</v>
      </c>
      <c r="B150">
        <v>5</v>
      </c>
      <c r="C150">
        <v>551.15290000000005</v>
      </c>
      <c r="D150">
        <v>6.2786</v>
      </c>
      <c r="E150">
        <v>550.30050000000006</v>
      </c>
      <c r="F150">
        <v>-1.5</v>
      </c>
      <c r="G150">
        <v>-0.85239999999998872</v>
      </c>
      <c r="H150">
        <v>2</v>
      </c>
      <c r="I150">
        <v>5</v>
      </c>
    </row>
    <row r="151" spans="1:9">
      <c r="A151">
        <v>42360</v>
      </c>
      <c r="B151">
        <v>5</v>
      </c>
      <c r="C151">
        <v>551.65290000000005</v>
      </c>
      <c r="D151">
        <v>15.6463</v>
      </c>
      <c r="E151">
        <v>544.55529999999999</v>
      </c>
      <c r="F151">
        <v>-1.5</v>
      </c>
      <c r="G151">
        <v>-7.0976000000000568</v>
      </c>
      <c r="H151">
        <v>2</v>
      </c>
      <c r="I151">
        <v>5</v>
      </c>
    </row>
    <row r="152" spans="1:9">
      <c r="A152">
        <v>42380</v>
      </c>
      <c r="B152">
        <v>18.5</v>
      </c>
      <c r="C152">
        <v>544.15290000000005</v>
      </c>
      <c r="D152">
        <v>27.7883</v>
      </c>
      <c r="E152">
        <v>538.84529999999995</v>
      </c>
      <c r="F152">
        <v>-1.75</v>
      </c>
      <c r="G152">
        <v>-5.3076000000000931</v>
      </c>
      <c r="H152">
        <v>2</v>
      </c>
      <c r="I152">
        <v>5</v>
      </c>
    </row>
    <row r="153" spans="1:9">
      <c r="A153">
        <v>42400</v>
      </c>
      <c r="B153">
        <v>4.25</v>
      </c>
      <c r="C153">
        <v>552.67539999999997</v>
      </c>
      <c r="D153">
        <v>5</v>
      </c>
      <c r="E153">
        <v>552.65290000000005</v>
      </c>
      <c r="F153">
        <v>-33.33</v>
      </c>
      <c r="G153">
        <v>-2.2499999999922693E-2</v>
      </c>
      <c r="H153">
        <v>2</v>
      </c>
      <c r="I153">
        <v>5</v>
      </c>
    </row>
    <row r="154" spans="1:9">
      <c r="A154">
        <v>42420</v>
      </c>
      <c r="B154">
        <v>4.25</v>
      </c>
      <c r="C154">
        <v>553.17539999999997</v>
      </c>
      <c r="D154">
        <v>5</v>
      </c>
      <c r="E154">
        <v>553.15290000000005</v>
      </c>
      <c r="F154">
        <v>-33.33</v>
      </c>
      <c r="G154">
        <v>-2.2499999999922693E-2</v>
      </c>
      <c r="H154">
        <v>2</v>
      </c>
      <c r="I154">
        <v>5</v>
      </c>
    </row>
    <row r="155" spans="1:9">
      <c r="A155">
        <v>42440</v>
      </c>
      <c r="B155">
        <v>4.25</v>
      </c>
      <c r="C155">
        <v>553.67539999999997</v>
      </c>
      <c r="D155">
        <v>5</v>
      </c>
      <c r="E155">
        <v>553.65290000000005</v>
      </c>
      <c r="F155">
        <v>-33.33</v>
      </c>
      <c r="G155">
        <v>-2.2499999999922693E-2</v>
      </c>
      <c r="H155">
        <v>2</v>
      </c>
      <c r="I155">
        <v>5</v>
      </c>
    </row>
    <row r="156" spans="1:9">
      <c r="A156">
        <v>42460</v>
      </c>
      <c r="B156">
        <v>4.25</v>
      </c>
      <c r="C156">
        <v>554.17539999999997</v>
      </c>
      <c r="D156">
        <v>5</v>
      </c>
      <c r="E156">
        <v>554.15290000000005</v>
      </c>
      <c r="F156">
        <v>-33.33</v>
      </c>
      <c r="G156">
        <v>-2.2499999999922693E-2</v>
      </c>
      <c r="H156">
        <v>2</v>
      </c>
      <c r="I156">
        <v>5</v>
      </c>
    </row>
    <row r="157" spans="1:9">
      <c r="A157">
        <v>42480</v>
      </c>
      <c r="B157">
        <v>4.25</v>
      </c>
      <c r="C157">
        <v>554.67539999999997</v>
      </c>
      <c r="D157">
        <v>5</v>
      </c>
      <c r="E157">
        <v>554.65290000000005</v>
      </c>
      <c r="F157">
        <v>-33.33</v>
      </c>
      <c r="G157">
        <v>-2.2499999999922693E-2</v>
      </c>
      <c r="H157">
        <v>2</v>
      </c>
      <c r="I157">
        <v>5</v>
      </c>
    </row>
    <row r="158" spans="1:9">
      <c r="A158">
        <v>42500</v>
      </c>
      <c r="B158">
        <v>4.25</v>
      </c>
      <c r="C158">
        <v>555.17539999999997</v>
      </c>
      <c r="D158">
        <v>5</v>
      </c>
      <c r="E158">
        <v>555.15290000000005</v>
      </c>
      <c r="F158">
        <v>-33.33</v>
      </c>
      <c r="G158">
        <v>-2.2499999999922693E-2</v>
      </c>
      <c r="H158">
        <v>2</v>
      </c>
      <c r="I158">
        <v>5</v>
      </c>
    </row>
    <row r="159" spans="1:9">
      <c r="A159">
        <v>42520</v>
      </c>
      <c r="B159">
        <v>4.25</v>
      </c>
      <c r="C159">
        <v>555.67539999999997</v>
      </c>
      <c r="D159">
        <v>5</v>
      </c>
      <c r="E159">
        <v>555.65290000000005</v>
      </c>
      <c r="F159">
        <v>-33.33</v>
      </c>
      <c r="G159">
        <v>-2.2499999999922693E-2</v>
      </c>
      <c r="H159">
        <v>2</v>
      </c>
      <c r="I159">
        <v>5</v>
      </c>
    </row>
    <row r="160" spans="1:9">
      <c r="A160">
        <v>42540</v>
      </c>
      <c r="B160">
        <v>4.25</v>
      </c>
      <c r="C160">
        <v>556.17539999999997</v>
      </c>
      <c r="D160">
        <v>5</v>
      </c>
      <c r="E160">
        <v>556.15290000000005</v>
      </c>
      <c r="F160">
        <v>-33.33</v>
      </c>
      <c r="G160">
        <v>-2.2499999999922693E-2</v>
      </c>
      <c r="H160">
        <v>2</v>
      </c>
      <c r="I160">
        <v>5</v>
      </c>
    </row>
    <row r="161" spans="1:9">
      <c r="A161">
        <v>42560</v>
      </c>
      <c r="B161">
        <v>4.25</v>
      </c>
      <c r="C161">
        <v>556.67539999999997</v>
      </c>
      <c r="D161">
        <v>5</v>
      </c>
      <c r="E161">
        <v>556.65290000000005</v>
      </c>
      <c r="F161">
        <v>-33.33</v>
      </c>
      <c r="G161">
        <v>-2.2499999999922693E-2</v>
      </c>
      <c r="H161">
        <v>2</v>
      </c>
      <c r="I161">
        <v>5</v>
      </c>
    </row>
    <row r="162" spans="1:9">
      <c r="A162">
        <v>42580</v>
      </c>
      <c r="B162">
        <v>4.25</v>
      </c>
      <c r="C162">
        <v>557.17539999999997</v>
      </c>
      <c r="D162">
        <v>5</v>
      </c>
      <c r="E162">
        <v>557.15290000000005</v>
      </c>
      <c r="F162">
        <v>-33.33</v>
      </c>
      <c r="G162">
        <v>-2.2499999999922693E-2</v>
      </c>
      <c r="H162">
        <v>2</v>
      </c>
      <c r="I162">
        <v>5</v>
      </c>
    </row>
    <row r="163" spans="1:9">
      <c r="A163">
        <v>42600</v>
      </c>
      <c r="B163">
        <v>4.25</v>
      </c>
      <c r="C163">
        <v>557.67539999999997</v>
      </c>
      <c r="D163">
        <v>5</v>
      </c>
      <c r="E163">
        <v>557.65290000000005</v>
      </c>
      <c r="F163">
        <v>-33.33</v>
      </c>
      <c r="G163">
        <v>-2.2499999999922693E-2</v>
      </c>
      <c r="H163">
        <v>2</v>
      </c>
      <c r="I163">
        <v>5</v>
      </c>
    </row>
    <row r="164" spans="1:9">
      <c r="A164">
        <v>42620</v>
      </c>
      <c r="B164">
        <v>4.25</v>
      </c>
      <c r="C164">
        <v>558.17539999999997</v>
      </c>
      <c r="D164">
        <v>5</v>
      </c>
      <c r="E164">
        <v>558.15290000000005</v>
      </c>
      <c r="F164">
        <v>-33.33</v>
      </c>
      <c r="G164">
        <v>-2.2499999999922693E-2</v>
      </c>
      <c r="H164">
        <v>2</v>
      </c>
      <c r="I164">
        <v>5</v>
      </c>
    </row>
    <row r="165" spans="1:9">
      <c r="A165">
        <v>42640</v>
      </c>
      <c r="B165">
        <v>4.25</v>
      </c>
      <c r="C165">
        <v>558.67539999999997</v>
      </c>
      <c r="D165">
        <v>5</v>
      </c>
      <c r="E165">
        <v>558.65290000000005</v>
      </c>
      <c r="F165">
        <v>-33.33</v>
      </c>
      <c r="G165">
        <v>-2.2499999999922693E-2</v>
      </c>
      <c r="H165">
        <v>2</v>
      </c>
      <c r="I165">
        <v>5</v>
      </c>
    </row>
    <row r="166" spans="1:9">
      <c r="A166">
        <v>42660</v>
      </c>
      <c r="B166">
        <v>4.25</v>
      </c>
      <c r="C166">
        <v>559.17539999999997</v>
      </c>
      <c r="D166">
        <v>5</v>
      </c>
      <c r="E166">
        <v>559.15290000000005</v>
      </c>
      <c r="F166">
        <v>-33.33</v>
      </c>
      <c r="G166">
        <v>-2.2499999999922693E-2</v>
      </c>
      <c r="H166">
        <v>2</v>
      </c>
      <c r="I166">
        <v>5</v>
      </c>
    </row>
    <row r="167" spans="1:9">
      <c r="A167">
        <v>42680</v>
      </c>
      <c r="B167">
        <v>4.25</v>
      </c>
      <c r="C167">
        <v>559.67539999999997</v>
      </c>
      <c r="D167">
        <v>5</v>
      </c>
      <c r="E167">
        <v>559.65290000000005</v>
      </c>
      <c r="F167">
        <v>-33.33</v>
      </c>
      <c r="G167">
        <v>-2.2499999999922693E-2</v>
      </c>
      <c r="H167">
        <v>2</v>
      </c>
      <c r="I167">
        <v>5</v>
      </c>
    </row>
    <row r="168" spans="1:9">
      <c r="A168">
        <v>42700</v>
      </c>
      <c r="B168">
        <v>5</v>
      </c>
      <c r="C168">
        <v>560.15290000000005</v>
      </c>
      <c r="D168">
        <v>5.2294</v>
      </c>
      <c r="E168">
        <v>560</v>
      </c>
      <c r="F168">
        <v>-1.5</v>
      </c>
      <c r="G168">
        <v>-0.15290000000004511</v>
      </c>
      <c r="H168">
        <v>2</v>
      </c>
      <c r="I168">
        <v>5</v>
      </c>
    </row>
    <row r="169" spans="1:9">
      <c r="A169">
        <v>42720</v>
      </c>
      <c r="B169">
        <v>5</v>
      </c>
      <c r="C169">
        <v>560.65290000000005</v>
      </c>
      <c r="D169">
        <v>5.9794</v>
      </c>
      <c r="E169">
        <v>560</v>
      </c>
      <c r="F169">
        <v>-1.5</v>
      </c>
      <c r="G169">
        <v>-0.65290000000004511</v>
      </c>
      <c r="H169">
        <v>2</v>
      </c>
      <c r="I169">
        <v>5</v>
      </c>
    </row>
    <row r="170" spans="1:9">
      <c r="A170">
        <v>42740</v>
      </c>
      <c r="B170">
        <v>5</v>
      </c>
      <c r="C170">
        <v>561.15290000000005</v>
      </c>
      <c r="D170">
        <v>6.7294</v>
      </c>
      <c r="E170">
        <v>560</v>
      </c>
      <c r="F170">
        <v>-1.5</v>
      </c>
      <c r="G170">
        <v>-1.1529000000000451</v>
      </c>
      <c r="H170">
        <v>2</v>
      </c>
      <c r="I170">
        <v>5</v>
      </c>
    </row>
    <row r="171" spans="1:9">
      <c r="A171">
        <v>42754.718999999997</v>
      </c>
      <c r="B171">
        <v>5</v>
      </c>
      <c r="C171">
        <v>561.52840000000003</v>
      </c>
      <c r="D171">
        <v>7.2926000000000002</v>
      </c>
      <c r="E171">
        <v>560</v>
      </c>
      <c r="F171">
        <v>-1.5</v>
      </c>
      <c r="G171">
        <v>-1.5284000000000333</v>
      </c>
      <c r="H171">
        <v>2</v>
      </c>
      <c r="I171">
        <v>5</v>
      </c>
    </row>
    <row r="172" spans="1:9">
      <c r="A172">
        <v>42760</v>
      </c>
      <c r="B172">
        <v>5</v>
      </c>
      <c r="C172">
        <v>561.66039999999998</v>
      </c>
      <c r="D172">
        <v>7.4905999999999997</v>
      </c>
      <c r="E172">
        <v>560</v>
      </c>
      <c r="F172">
        <v>-1.5</v>
      </c>
      <c r="G172">
        <v>-1.6603999999999814</v>
      </c>
      <c r="H172">
        <v>2</v>
      </c>
      <c r="I172">
        <v>5</v>
      </c>
    </row>
    <row r="173" spans="1:9">
      <c r="A173">
        <v>42780</v>
      </c>
      <c r="B173">
        <v>5.9</v>
      </c>
      <c r="C173">
        <v>562.20550000000003</v>
      </c>
      <c r="D173">
        <v>7.8990999999999998</v>
      </c>
      <c r="E173">
        <v>566.20360000000005</v>
      </c>
      <c r="F173">
        <v>0.5</v>
      </c>
      <c r="G173">
        <v>3.9981000000000222</v>
      </c>
      <c r="H173">
        <v>2</v>
      </c>
      <c r="I173">
        <v>-5</v>
      </c>
    </row>
    <row r="174" spans="1:9">
      <c r="A174">
        <v>42789.718999999997</v>
      </c>
      <c r="B174">
        <v>5.9</v>
      </c>
      <c r="C174">
        <v>562.44039999999995</v>
      </c>
      <c r="D174">
        <v>9.6798000000000002</v>
      </c>
      <c r="E174">
        <v>570</v>
      </c>
      <c r="F174">
        <v>0.5</v>
      </c>
      <c r="G174">
        <v>7.5596000000000458</v>
      </c>
      <c r="H174">
        <v>2</v>
      </c>
      <c r="I174">
        <v>-5</v>
      </c>
    </row>
    <row r="175" spans="1:9">
      <c r="A175">
        <v>42800</v>
      </c>
      <c r="B175">
        <v>5.9</v>
      </c>
      <c r="C175">
        <v>562.80899999999997</v>
      </c>
      <c r="D175">
        <v>9.4954999999999998</v>
      </c>
      <c r="E175">
        <v>570</v>
      </c>
      <c r="F175">
        <v>0.5</v>
      </c>
      <c r="G175">
        <v>7.1910000000000309</v>
      </c>
      <c r="H175">
        <v>2</v>
      </c>
      <c r="I175">
        <v>-5</v>
      </c>
    </row>
    <row r="176" spans="1:9">
      <c r="A176">
        <v>42820</v>
      </c>
      <c r="B176">
        <v>5.9</v>
      </c>
      <c r="C176">
        <v>563.62080000000003</v>
      </c>
      <c r="D176">
        <v>9.0896000000000008</v>
      </c>
      <c r="E176">
        <v>570</v>
      </c>
      <c r="F176">
        <v>0.5</v>
      </c>
      <c r="G176">
        <v>6.3791999999999689</v>
      </c>
      <c r="H176">
        <v>2</v>
      </c>
      <c r="I176">
        <v>-5</v>
      </c>
    </row>
    <row r="177" spans="1:9">
      <c r="A177">
        <v>42836.612000000001</v>
      </c>
      <c r="B177">
        <v>5.9</v>
      </c>
      <c r="C177">
        <v>564.39009999999996</v>
      </c>
      <c r="D177">
        <v>8.7049000000000003</v>
      </c>
      <c r="E177">
        <v>570</v>
      </c>
      <c r="F177">
        <v>0.5</v>
      </c>
      <c r="G177">
        <v>5.6099000000000387</v>
      </c>
      <c r="H177">
        <v>2</v>
      </c>
      <c r="I177">
        <v>-5</v>
      </c>
    </row>
    <row r="178" spans="1:9">
      <c r="A178">
        <v>42840</v>
      </c>
      <c r="B178">
        <v>5.9</v>
      </c>
      <c r="C178">
        <v>564.55759999999998</v>
      </c>
      <c r="D178">
        <v>8.6212</v>
      </c>
      <c r="E178">
        <v>570</v>
      </c>
      <c r="F178">
        <v>0.5</v>
      </c>
      <c r="G178">
        <v>5.4424000000000206</v>
      </c>
      <c r="H178">
        <v>2</v>
      </c>
      <c r="I178">
        <v>-5</v>
      </c>
    </row>
    <row r="179" spans="1:9">
      <c r="A179">
        <v>42860</v>
      </c>
      <c r="B179">
        <v>5.9</v>
      </c>
      <c r="C179">
        <v>565.61940000000004</v>
      </c>
      <c r="D179">
        <v>8.0902999999999992</v>
      </c>
      <c r="E179">
        <v>570</v>
      </c>
      <c r="F179">
        <v>0.5</v>
      </c>
      <c r="G179">
        <v>4.3805999999999585</v>
      </c>
      <c r="H179">
        <v>2</v>
      </c>
      <c r="I179">
        <v>-5</v>
      </c>
    </row>
    <row r="180" spans="1:9">
      <c r="A180">
        <v>42880</v>
      </c>
      <c r="B180">
        <v>5.9</v>
      </c>
      <c r="C180">
        <v>566.80619999999999</v>
      </c>
      <c r="D180">
        <v>7.4969000000000001</v>
      </c>
      <c r="E180">
        <v>570</v>
      </c>
      <c r="F180">
        <v>0.5</v>
      </c>
      <c r="G180">
        <v>3.1938000000000102</v>
      </c>
      <c r="H180">
        <v>2</v>
      </c>
      <c r="I180">
        <v>-5</v>
      </c>
    </row>
    <row r="181" spans="1:9">
      <c r="A181">
        <v>42883.506000000001</v>
      </c>
      <c r="B181">
        <v>5.9</v>
      </c>
      <c r="C181">
        <v>567.02509999999995</v>
      </c>
      <c r="D181">
        <v>7.3874000000000004</v>
      </c>
      <c r="E181">
        <v>570</v>
      </c>
      <c r="F181">
        <v>0.5</v>
      </c>
      <c r="G181">
        <v>2.9749000000000478</v>
      </c>
      <c r="H181">
        <v>2</v>
      </c>
      <c r="I181">
        <v>-5</v>
      </c>
    </row>
    <row r="182" spans="1:9">
      <c r="A182">
        <v>42900</v>
      </c>
      <c r="B182">
        <v>5.9</v>
      </c>
      <c r="C182">
        <v>568.1549</v>
      </c>
      <c r="D182">
        <v>6.8226000000000004</v>
      </c>
      <c r="E182">
        <v>570</v>
      </c>
      <c r="F182">
        <v>0.5</v>
      </c>
      <c r="G182">
        <v>1.8451000000000022</v>
      </c>
      <c r="H182">
        <v>2</v>
      </c>
      <c r="I182">
        <v>-5</v>
      </c>
    </row>
    <row r="183" spans="1:9">
      <c r="A183">
        <v>42918.506000000001</v>
      </c>
      <c r="B183">
        <v>5.9</v>
      </c>
      <c r="C183">
        <v>569.31020000000001</v>
      </c>
      <c r="D183">
        <v>6.1214000000000004</v>
      </c>
      <c r="E183">
        <v>569.75300000000004</v>
      </c>
      <c r="F183">
        <v>0.5</v>
      </c>
      <c r="G183">
        <v>0.44280000000003383</v>
      </c>
      <c r="H183">
        <v>2</v>
      </c>
      <c r="I183">
        <v>-5</v>
      </c>
    </row>
    <row r="184" spans="1:9">
      <c r="A184">
        <v>42920</v>
      </c>
      <c r="B184">
        <v>5.9</v>
      </c>
      <c r="C184">
        <v>569.39599999999996</v>
      </c>
      <c r="D184">
        <v>5.9252000000000002</v>
      </c>
      <c r="E184">
        <v>569.44629999999995</v>
      </c>
      <c r="F184">
        <v>0.5</v>
      </c>
      <c r="G184">
        <v>5.0299999999992906E-2</v>
      </c>
      <c r="H184">
        <v>2</v>
      </c>
      <c r="I184">
        <v>-5</v>
      </c>
    </row>
    <row r="185" spans="1:9">
      <c r="A185">
        <v>42940</v>
      </c>
      <c r="B185">
        <v>5</v>
      </c>
      <c r="C185">
        <v>570.64459999999997</v>
      </c>
      <c r="D185">
        <v>16.831800000000001</v>
      </c>
      <c r="E185">
        <v>562.75670000000002</v>
      </c>
      <c r="F185">
        <v>-1.5</v>
      </c>
      <c r="G185">
        <v>-7.8878999999999451</v>
      </c>
      <c r="H185">
        <v>2</v>
      </c>
      <c r="I185">
        <v>5</v>
      </c>
    </row>
    <row r="186" spans="1:9">
      <c r="A186">
        <v>42960</v>
      </c>
      <c r="B186">
        <v>18.5</v>
      </c>
      <c r="C186">
        <v>563.89319999999998</v>
      </c>
      <c r="D186">
        <v>34.264099999999999</v>
      </c>
      <c r="E186">
        <v>554.88509999999997</v>
      </c>
      <c r="F186">
        <v>-1.75</v>
      </c>
      <c r="G186">
        <v>-9.0081000000000131</v>
      </c>
      <c r="H186">
        <v>2</v>
      </c>
      <c r="I186">
        <v>5</v>
      </c>
    </row>
    <row r="187" spans="1:9">
      <c r="A187">
        <v>42980</v>
      </c>
      <c r="B187">
        <v>41</v>
      </c>
      <c r="C187">
        <v>553.14179999999999</v>
      </c>
      <c r="D187">
        <v>67.283600000000007</v>
      </c>
      <c r="E187">
        <v>540</v>
      </c>
      <c r="F187">
        <v>-2</v>
      </c>
      <c r="G187">
        <v>-13.141799999999989</v>
      </c>
      <c r="H187">
        <v>2</v>
      </c>
      <c r="I187">
        <v>5</v>
      </c>
    </row>
    <row r="188" spans="1:9">
      <c r="A188">
        <v>42987.165999999997</v>
      </c>
      <c r="B188">
        <v>41</v>
      </c>
      <c r="C188">
        <v>553.58920000000001</v>
      </c>
      <c r="D188">
        <v>68.178399999999996</v>
      </c>
      <c r="E188">
        <v>540</v>
      </c>
      <c r="F188">
        <v>-2</v>
      </c>
      <c r="G188">
        <v>-13.589200000000005</v>
      </c>
      <c r="H188">
        <v>2</v>
      </c>
      <c r="I188">
        <v>5</v>
      </c>
    </row>
    <row r="189" spans="1:9">
      <c r="A189">
        <v>43000</v>
      </c>
      <c r="B189">
        <v>41</v>
      </c>
      <c r="C189">
        <v>554.3904</v>
      </c>
      <c r="D189">
        <v>69.780900000000003</v>
      </c>
      <c r="E189">
        <v>540</v>
      </c>
      <c r="F189">
        <v>-2</v>
      </c>
      <c r="G189">
        <v>-14.3904</v>
      </c>
      <c r="H189">
        <v>2</v>
      </c>
      <c r="I189">
        <v>5</v>
      </c>
    </row>
    <row r="190" spans="1:9">
      <c r="A190">
        <v>43020</v>
      </c>
      <c r="B190">
        <v>41</v>
      </c>
      <c r="C190">
        <v>555.63900000000001</v>
      </c>
      <c r="D190">
        <v>60.1858</v>
      </c>
      <c r="E190">
        <v>546.04610000000002</v>
      </c>
      <c r="F190">
        <v>-2</v>
      </c>
      <c r="G190">
        <v>-9.592899999999986</v>
      </c>
      <c r="H190">
        <v>2</v>
      </c>
      <c r="I190">
        <v>5</v>
      </c>
    </row>
    <row r="191" spans="1:9">
      <c r="A191">
        <v>43040</v>
      </c>
      <c r="B191">
        <v>41</v>
      </c>
      <c r="C191">
        <v>556.8877</v>
      </c>
      <c r="D191">
        <v>51.565399999999997</v>
      </c>
      <c r="E191">
        <v>551.60500000000002</v>
      </c>
      <c r="F191">
        <v>-2</v>
      </c>
      <c r="G191">
        <v>-5.2826999999999771</v>
      </c>
      <c r="H191">
        <v>2</v>
      </c>
      <c r="I191">
        <v>5</v>
      </c>
    </row>
    <row r="192" spans="1:9">
      <c r="A192">
        <v>43060</v>
      </c>
      <c r="B192">
        <v>41</v>
      </c>
      <c r="C192">
        <v>558.13630000000001</v>
      </c>
      <c r="D192">
        <v>42.665999999999997</v>
      </c>
      <c r="E192">
        <v>557.30330000000004</v>
      </c>
      <c r="F192">
        <v>-2</v>
      </c>
      <c r="G192">
        <v>-0.83299999999996999</v>
      </c>
      <c r="H192">
        <v>2</v>
      </c>
      <c r="I192">
        <v>5</v>
      </c>
    </row>
    <row r="193" spans="1:9">
      <c r="A193">
        <v>43064.686000000002</v>
      </c>
      <c r="B193">
        <v>39.5</v>
      </c>
      <c r="C193">
        <v>558.42880000000002</v>
      </c>
      <c r="D193">
        <v>39.768000000000001</v>
      </c>
      <c r="E193">
        <v>558.42880000000002</v>
      </c>
      <c r="F193">
        <v>9999</v>
      </c>
      <c r="G193">
        <v>0</v>
      </c>
      <c r="H193">
        <v>2</v>
      </c>
      <c r="I193">
        <v>5</v>
      </c>
    </row>
    <row r="194" spans="1:9">
      <c r="A194">
        <v>43080</v>
      </c>
      <c r="B194">
        <v>18.5</v>
      </c>
      <c r="C194">
        <v>571.38490000000002</v>
      </c>
      <c r="D194">
        <v>33.653399999999998</v>
      </c>
      <c r="E194">
        <v>562.72580000000005</v>
      </c>
      <c r="F194">
        <v>-1.75</v>
      </c>
      <c r="G194">
        <v>-8.6590999999999667</v>
      </c>
      <c r="H194">
        <v>2</v>
      </c>
      <c r="I194">
        <v>5</v>
      </c>
    </row>
    <row r="195" spans="1:9">
      <c r="A195">
        <v>43100</v>
      </c>
      <c r="B195">
        <v>18.5</v>
      </c>
      <c r="C195">
        <v>572.63350000000003</v>
      </c>
      <c r="D195">
        <v>27.6782</v>
      </c>
      <c r="E195">
        <v>567.38879999999995</v>
      </c>
      <c r="F195">
        <v>-1.75</v>
      </c>
      <c r="G195">
        <v>-5.2447000000000799</v>
      </c>
      <c r="H195">
        <v>2</v>
      </c>
      <c r="I195">
        <v>5</v>
      </c>
    </row>
    <row r="196" spans="1:9">
      <c r="A196">
        <v>43120</v>
      </c>
      <c r="B196">
        <v>18.5</v>
      </c>
      <c r="C196">
        <v>573.88210000000004</v>
      </c>
      <c r="D196">
        <v>25.293700000000001</v>
      </c>
      <c r="E196">
        <v>570</v>
      </c>
      <c r="F196">
        <v>-1.75</v>
      </c>
      <c r="G196">
        <v>-3.8821000000000367</v>
      </c>
      <c r="H196">
        <v>2</v>
      </c>
      <c r="I196">
        <v>5</v>
      </c>
    </row>
    <row r="197" spans="1:9">
      <c r="A197">
        <v>43140</v>
      </c>
      <c r="B197">
        <v>18.5</v>
      </c>
      <c r="C197">
        <v>575.13070000000005</v>
      </c>
      <c r="D197">
        <v>26.039899999999999</v>
      </c>
      <c r="E197">
        <v>570.82219999999995</v>
      </c>
      <c r="F197">
        <v>-1.75</v>
      </c>
      <c r="G197">
        <v>-4.3085000000000946</v>
      </c>
      <c r="H197">
        <v>2</v>
      </c>
      <c r="I197">
        <v>5</v>
      </c>
    </row>
    <row r="198" spans="1:9">
      <c r="A198">
        <v>43142.205999999998</v>
      </c>
      <c r="B198">
        <v>18.5</v>
      </c>
      <c r="C198">
        <v>575.26850000000002</v>
      </c>
      <c r="D198">
        <v>24.347999999999999</v>
      </c>
      <c r="E198">
        <v>571.92679999999996</v>
      </c>
      <c r="F198">
        <v>-1.75</v>
      </c>
      <c r="G198">
        <v>-3.3417000000000598</v>
      </c>
      <c r="H198">
        <v>2</v>
      </c>
      <c r="I198">
        <v>5</v>
      </c>
    </row>
    <row r="199" spans="1:9">
      <c r="A199">
        <v>43145.58</v>
      </c>
      <c r="B199">
        <v>18.5</v>
      </c>
      <c r="C199">
        <v>575.47910000000002</v>
      </c>
      <c r="D199">
        <v>21.896599999999999</v>
      </c>
      <c r="E199">
        <v>573.53819999999996</v>
      </c>
      <c r="F199">
        <v>-1.75</v>
      </c>
      <c r="G199">
        <v>-1.940900000000056</v>
      </c>
      <c r="H199">
        <v>2</v>
      </c>
      <c r="I199">
        <v>5</v>
      </c>
    </row>
    <row r="319" spans="11:16">
      <c r="K319" s="1"/>
      <c r="L319" s="1"/>
      <c r="M319" s="1"/>
      <c r="N319" s="1"/>
      <c r="O319" s="1"/>
      <c r="P319" s="1"/>
    </row>
    <row r="329" spans="11:16" s="1" customFormat="1">
      <c r="K329"/>
      <c r="L329"/>
      <c r="M329"/>
      <c r="N329"/>
      <c r="O329"/>
      <c r="P329"/>
    </row>
  </sheetData>
  <sortState ref="K2:P511">
    <sortCondition ref="M2:M511"/>
    <sortCondition descending="1" ref="N2:N511"/>
    <sortCondition ref="K2:K511"/>
  </sortState>
  <phoneticPr fontId="2" type="noConversion"/>
  <pageMargins left="0.7" right="0.7" top="0.75" bottom="0.75" header="0.3" footer="0.3"/>
  <pageSetup paperSize="8" orientation="portrait" horizontalDpi="1440" verticalDpi="1440" copies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16</xdr:col>
                <xdr:colOff>76200</xdr:colOff>
                <xdr:row>0</xdr:row>
                <xdr:rowOff>9525</xdr:rowOff>
              </from>
              <to>
                <xdr:col>17</xdr:col>
                <xdr:colOff>228600</xdr:colOff>
                <xdr:row>2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2:I33"/>
  <sheetViews>
    <sheetView workbookViewId="0">
      <selection activeCell="A2" sqref="A2:D3"/>
    </sheetView>
  </sheetViews>
  <sheetFormatPr defaultRowHeight="13.5"/>
  <sheetData>
    <row r="2" spans="1:9">
      <c r="A2" s="1">
        <v>41647.859375</v>
      </c>
      <c r="B2" s="1">
        <v>42000</v>
      </c>
      <c r="C2" s="1">
        <v>15587.80859375</v>
      </c>
      <c r="D2" s="1">
        <v>2332.702392578125</v>
      </c>
      <c r="E2" s="1"/>
      <c r="F2" s="1"/>
      <c r="G2" s="1"/>
      <c r="H2" s="1"/>
      <c r="I2" s="1"/>
    </row>
    <row r="3" spans="1:9">
      <c r="A3" s="1">
        <v>42000</v>
      </c>
      <c r="B3" s="1">
        <v>43145.578125</v>
      </c>
      <c r="C3" s="1">
        <v>11018.0078125</v>
      </c>
      <c r="D3">
        <v>251414.8125</v>
      </c>
      <c r="E3" s="1"/>
      <c r="F3" s="1"/>
      <c r="G3" s="1"/>
      <c r="H3" s="1"/>
      <c r="I3" s="1"/>
    </row>
    <row r="4" spans="1:9">
      <c r="A4" s="1">
        <v>41647.859375</v>
      </c>
      <c r="B4" s="1">
        <v>42000</v>
      </c>
      <c r="C4" s="1">
        <v>2332.702392578125</v>
      </c>
      <c r="D4">
        <v>3</v>
      </c>
      <c r="E4" s="1"/>
      <c r="F4" s="1"/>
      <c r="G4" s="1"/>
      <c r="H4" s="1"/>
      <c r="I4" s="1"/>
    </row>
    <row r="5" spans="1:9">
      <c r="A5" s="1">
        <v>42000</v>
      </c>
      <c r="B5" s="1">
        <v>43145.578125</v>
      </c>
      <c r="C5" s="1">
        <v>251414.8125</v>
      </c>
      <c r="D5">
        <v>3</v>
      </c>
      <c r="E5" s="1"/>
      <c r="F5" s="1"/>
      <c r="G5" s="1"/>
      <c r="H5" s="1"/>
      <c r="I5" s="1"/>
    </row>
    <row r="6" spans="1:9">
      <c r="A6" s="1"/>
      <c r="B6" s="1"/>
      <c r="D6" s="1"/>
      <c r="E6" s="1"/>
      <c r="F6" s="1"/>
      <c r="G6" s="1"/>
      <c r="H6" s="1"/>
      <c r="I6" s="1"/>
    </row>
    <row r="7" spans="1:9">
      <c r="A7" s="1"/>
      <c r="B7" s="1"/>
      <c r="D7" s="1"/>
      <c r="E7" s="1"/>
      <c r="F7" s="1"/>
      <c r="G7" s="1"/>
      <c r="H7" s="1"/>
      <c r="I7" s="1"/>
    </row>
    <row r="8" spans="1:9">
      <c r="A8" s="1"/>
      <c r="B8" s="1"/>
      <c r="D8" s="1"/>
      <c r="E8" s="1"/>
      <c r="F8" s="1"/>
      <c r="G8" s="1"/>
      <c r="H8" s="1"/>
      <c r="I8" s="1"/>
    </row>
    <row r="9" spans="1:9">
      <c r="A9" s="1"/>
      <c r="B9" s="1"/>
      <c r="D9" s="1"/>
      <c r="E9" s="1"/>
      <c r="F9" s="1"/>
      <c r="G9" s="1"/>
      <c r="H9" s="1"/>
      <c r="I9" s="1"/>
    </row>
    <row r="10" spans="1:9">
      <c r="A10" s="1"/>
      <c r="B10" s="1"/>
      <c r="D10" s="1"/>
      <c r="E10" s="1"/>
      <c r="F10" s="1"/>
      <c r="G10" s="1"/>
      <c r="H10" s="1"/>
      <c r="I10" s="1"/>
    </row>
    <row r="11" spans="1:9">
      <c r="A11" s="1"/>
      <c r="B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26" spans="1:4">
      <c r="A26" s="1"/>
      <c r="B26" s="1"/>
      <c r="C26" s="1"/>
      <c r="D26" s="1"/>
    </row>
    <row r="27" spans="1:4">
      <c r="A27" s="1"/>
      <c r="B27" s="1"/>
      <c r="C27" s="1"/>
      <c r="D27" s="1"/>
    </row>
    <row r="28" spans="1:4">
      <c r="A28" s="1"/>
      <c r="B28" s="1"/>
      <c r="C28" s="1"/>
      <c r="D28" s="1"/>
    </row>
    <row r="29" spans="1:4">
      <c r="A29" s="1"/>
      <c r="B29" s="1"/>
      <c r="C29" s="1"/>
      <c r="D29" s="1"/>
    </row>
    <row r="30" spans="1:4">
      <c r="A30" s="1"/>
      <c r="B30" s="1"/>
      <c r="C30" s="1"/>
      <c r="D30" s="1"/>
    </row>
    <row r="31" spans="1:4">
      <c r="A31" s="1"/>
      <c r="B31" s="1"/>
      <c r="C31" s="1"/>
      <c r="D31" s="1"/>
    </row>
    <row r="32" spans="1:4">
      <c r="A32" s="1"/>
      <c r="B32" s="1"/>
      <c r="C32" s="1"/>
      <c r="D32" s="1"/>
    </row>
    <row r="33" spans="1:4">
      <c r="A33" s="1"/>
      <c r="B33" s="1"/>
      <c r="C33" s="1"/>
      <c r="D33" s="1"/>
    </row>
  </sheetData>
  <phoneticPr fontId="2" type="noConversion"/>
  <pageMargins left="0.7" right="0.7" top="0.75" bottom="0.75" header="0.3" footer="0.3"/>
  <pageSetup paperSize="8" orientation="portrait" horizontalDpi="1440" verticalDpi="1440" copies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171450</xdr:colOff>
                <xdr:row>1</xdr:row>
                <xdr:rowOff>19050</xdr:rowOff>
              </from>
              <to>
                <xdr:col>12</xdr:col>
                <xdr:colOff>304800</xdr:colOff>
                <xdr:row>3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O81"/>
  <sheetViews>
    <sheetView workbookViewId="0">
      <selection activeCell="J37" sqref="J37"/>
    </sheetView>
  </sheetViews>
  <sheetFormatPr defaultRowHeight="13.5"/>
  <cols>
    <col min="1" max="2" width="10.5" style="95" bestFit="1" customWidth="1"/>
    <col min="3" max="3" width="7.5" style="95" bestFit="1" customWidth="1"/>
    <col min="4" max="4" width="8.5" style="95" bestFit="1" customWidth="1"/>
    <col min="5" max="5" width="11" style="95" bestFit="1" customWidth="1"/>
    <col min="6" max="6" width="9" style="95" bestFit="1" customWidth="1"/>
    <col min="7" max="7" width="5.5" style="95" bestFit="1" customWidth="1"/>
    <col min="8" max="8" width="12.75" style="10" bestFit="1" customWidth="1"/>
    <col min="9" max="9" width="15.125" style="10" bestFit="1" customWidth="1"/>
    <col min="10" max="10" width="11" style="10" bestFit="1" customWidth="1"/>
    <col min="11" max="11" width="12.75" style="10" bestFit="1" customWidth="1"/>
    <col min="12" max="13" width="9" style="10"/>
    <col min="14" max="15" width="12.75" style="10" bestFit="1" customWidth="1"/>
    <col min="16" max="18" width="9" style="10"/>
    <col min="19" max="19" width="9.5" style="10" bestFit="1" customWidth="1"/>
    <col min="20" max="16384" width="9" style="10"/>
  </cols>
  <sheetData>
    <row r="1" spans="1:15">
      <c r="A1" s="95" t="s">
        <v>14</v>
      </c>
      <c r="B1" s="95" t="s">
        <v>15</v>
      </c>
      <c r="C1" s="96" t="s">
        <v>27</v>
      </c>
      <c r="D1" s="96" t="s">
        <v>28</v>
      </c>
      <c r="E1" s="97" t="s">
        <v>12</v>
      </c>
      <c r="F1" s="95" t="s">
        <v>13</v>
      </c>
      <c r="G1" s="95" t="s">
        <v>22</v>
      </c>
      <c r="H1" s="10" t="s">
        <v>20</v>
      </c>
      <c r="I1" s="10" t="s">
        <v>21</v>
      </c>
      <c r="J1" s="10" t="s">
        <v>16</v>
      </c>
      <c r="K1" s="10" t="s">
        <v>17</v>
      </c>
      <c r="L1" s="10" t="s">
        <v>18</v>
      </c>
      <c r="M1" s="10" t="s">
        <v>19</v>
      </c>
      <c r="N1" s="10" t="s">
        <v>23</v>
      </c>
      <c r="O1" s="10" t="s">
        <v>23</v>
      </c>
    </row>
    <row r="2" spans="1:15">
      <c r="A2" s="95">
        <v>0</v>
      </c>
      <c r="B2" s="95">
        <v>1000</v>
      </c>
      <c r="C2" s="96">
        <v>14157.185007812499</v>
      </c>
      <c r="D2" s="96">
        <v>30803.534850543481</v>
      </c>
      <c r="E2" s="97">
        <v>93200</v>
      </c>
      <c r="F2" s="98">
        <v>100</v>
      </c>
      <c r="G2" s="97">
        <v>1</v>
      </c>
      <c r="H2" s="11">
        <v>0</v>
      </c>
      <c r="I2" s="12">
        <v>1250</v>
      </c>
      <c r="J2" s="10">
        <v>100</v>
      </c>
      <c r="K2" s="10">
        <v>93200</v>
      </c>
      <c r="L2" s="10">
        <v>17948.641583007811</v>
      </c>
      <c r="M2" s="10">
        <v>39377.88395889946</v>
      </c>
      <c r="N2" s="13">
        <v>19820.060000000001</v>
      </c>
      <c r="O2" s="13">
        <v>43124.94921875</v>
      </c>
    </row>
    <row r="3" spans="1:15">
      <c r="A3" s="95">
        <v>1000</v>
      </c>
      <c r="B3" s="95">
        <v>2000</v>
      </c>
      <c r="C3" s="96">
        <v>15165.826300781249</v>
      </c>
      <c r="D3" s="96">
        <v>34297.396433423914</v>
      </c>
      <c r="E3" s="97">
        <v>122700</v>
      </c>
      <c r="F3" s="98">
        <v>2400</v>
      </c>
      <c r="G3" s="97">
        <v>0.4</v>
      </c>
      <c r="H3" s="11">
        <v>1250</v>
      </c>
      <c r="I3" s="12">
        <v>2204.014657291119</v>
      </c>
      <c r="J3" s="10">
        <v>2400</v>
      </c>
      <c r="K3" s="10">
        <v>122700</v>
      </c>
      <c r="L3" s="10">
        <v>24419.793467637632</v>
      </c>
      <c r="M3" s="10">
        <v>55507.245875846987</v>
      </c>
      <c r="N3" s="13">
        <v>23886.18</v>
      </c>
      <c r="O3" s="13">
        <v>54018.390625</v>
      </c>
    </row>
    <row r="4" spans="1:15">
      <c r="A4" s="95">
        <v>2000</v>
      </c>
      <c r="B4" s="95">
        <v>3000</v>
      </c>
      <c r="C4" s="96">
        <v>63943.564062499994</v>
      </c>
      <c r="D4" s="96">
        <v>145990.49028532606</v>
      </c>
      <c r="E4" s="97">
        <v>254600</v>
      </c>
      <c r="F4" s="98">
        <v>3060</v>
      </c>
      <c r="G4" s="97">
        <v>0.4</v>
      </c>
      <c r="H4" s="11">
        <v>2204.014657291119</v>
      </c>
      <c r="I4" s="12">
        <v>5559.5489801008625</v>
      </c>
      <c r="J4" s="10">
        <v>3060</v>
      </c>
      <c r="K4" s="10">
        <v>254600</v>
      </c>
      <c r="L4" s="10">
        <v>79054.312521537577</v>
      </c>
      <c r="M4" s="10">
        <v>175560.36971431278</v>
      </c>
      <c r="N4" s="13">
        <v>55384.92</v>
      </c>
      <c r="O4" s="13">
        <v>126450.1171875</v>
      </c>
    </row>
    <row r="5" spans="1:15">
      <c r="A5" s="95">
        <v>3000</v>
      </c>
      <c r="B5" s="95">
        <v>4000</v>
      </c>
      <c r="C5" s="96">
        <v>15994.799941406251</v>
      </c>
      <c r="D5" s="96">
        <v>34637.69025135869</v>
      </c>
      <c r="E5" s="97">
        <v>272400</v>
      </c>
      <c r="F5" s="98">
        <v>9300</v>
      </c>
      <c r="G5" s="97">
        <v>0.4</v>
      </c>
      <c r="H5" s="11">
        <v>5559.5489801008625</v>
      </c>
      <c r="I5" s="12">
        <v>12700</v>
      </c>
      <c r="J5" s="10">
        <v>9300</v>
      </c>
      <c r="K5" s="10">
        <v>272400</v>
      </c>
      <c r="L5" s="10">
        <v>53517.690424179273</v>
      </c>
      <c r="M5" s="10">
        <v>109627.84212160562</v>
      </c>
      <c r="N5" s="13">
        <v>13435.63</v>
      </c>
      <c r="O5" s="13">
        <v>29095.66015625</v>
      </c>
    </row>
    <row r="6" spans="1:15">
      <c r="A6" s="95">
        <v>4000</v>
      </c>
      <c r="B6" s="95">
        <v>5000</v>
      </c>
      <c r="C6" s="96">
        <v>7289.555109375</v>
      </c>
      <c r="D6" s="96">
        <v>14789.254059103263</v>
      </c>
      <c r="E6" s="97">
        <v>104600</v>
      </c>
      <c r="F6" s="98">
        <v>16100</v>
      </c>
      <c r="G6" s="97">
        <v>0.8</v>
      </c>
      <c r="H6" s="11">
        <v>12700</v>
      </c>
      <c r="I6" s="12">
        <v>16280</v>
      </c>
      <c r="J6" s="10">
        <v>16100</v>
      </c>
      <c r="K6" s="10">
        <v>104600</v>
      </c>
      <c r="L6" s="10">
        <v>15902.742171484375</v>
      </c>
      <c r="M6" s="10">
        <v>19527.252601052991</v>
      </c>
      <c r="N6" s="13">
        <v>13412.78</v>
      </c>
      <c r="O6" s="13">
        <v>27212.23046875</v>
      </c>
    </row>
    <row r="7" spans="1:15">
      <c r="A7" s="95">
        <v>5000</v>
      </c>
      <c r="B7" s="95">
        <v>6000</v>
      </c>
      <c r="C7" s="96">
        <v>8706.6881484375008</v>
      </c>
      <c r="D7" s="96">
        <v>17741.317951766301</v>
      </c>
      <c r="E7" s="97">
        <v>56100</v>
      </c>
      <c r="F7" s="98">
        <v>16460</v>
      </c>
      <c r="G7" s="97">
        <v>0.2</v>
      </c>
      <c r="H7" s="11">
        <v>16280</v>
      </c>
      <c r="I7" s="12">
        <v>17380</v>
      </c>
      <c r="J7" s="10">
        <v>16460</v>
      </c>
      <c r="K7" s="10">
        <v>56100</v>
      </c>
      <c r="L7" s="10">
        <v>5600.92267359375</v>
      </c>
      <c r="M7" s="10">
        <v>0</v>
      </c>
      <c r="N7" s="13">
        <v>29942.42</v>
      </c>
      <c r="O7" s="13">
        <v>61012.62890625</v>
      </c>
    </row>
    <row r="8" spans="1:15">
      <c r="A8" s="95">
        <v>6000</v>
      </c>
      <c r="B8" s="95">
        <v>7000</v>
      </c>
      <c r="C8" s="96">
        <v>8296.3177656250009</v>
      </c>
      <c r="D8" s="96">
        <v>17113.598879076089</v>
      </c>
      <c r="E8" s="97">
        <v>42800</v>
      </c>
      <c r="F8" s="98">
        <v>18300</v>
      </c>
      <c r="G8" s="97">
        <v>0.8</v>
      </c>
      <c r="H8" s="11">
        <v>17380</v>
      </c>
      <c r="I8" s="12">
        <v>19365</v>
      </c>
      <c r="J8" s="10">
        <v>18300</v>
      </c>
      <c r="K8" s="10">
        <v>42800</v>
      </c>
      <c r="L8" s="10">
        <v>19471.340319433592</v>
      </c>
      <c r="M8" s="10">
        <v>19923.243348547898</v>
      </c>
      <c r="N8" s="13">
        <v>26548.22</v>
      </c>
      <c r="O8" s="13">
        <v>54763.51953125</v>
      </c>
    </row>
    <row r="9" spans="1:15">
      <c r="A9" s="95">
        <v>7000</v>
      </c>
      <c r="B9" s="95">
        <v>7087.13</v>
      </c>
      <c r="C9" s="96">
        <v>4159.3907226562496</v>
      </c>
      <c r="D9" s="96">
        <v>9705.2450195312485</v>
      </c>
      <c r="E9" s="97">
        <v>20000</v>
      </c>
      <c r="F9" s="98">
        <v>20430</v>
      </c>
      <c r="G9" s="97">
        <v>0.3</v>
      </c>
      <c r="H9" s="11">
        <v>19365</v>
      </c>
      <c r="I9" s="12">
        <v>20715</v>
      </c>
      <c r="J9" s="10">
        <v>20430</v>
      </c>
      <c r="K9" s="10">
        <v>20000</v>
      </c>
      <c r="L9" s="10">
        <v>4238.2914757226563</v>
      </c>
      <c r="M9" s="10">
        <v>2878.883069590694</v>
      </c>
      <c r="N9" s="13">
        <v>11049.15</v>
      </c>
      <c r="O9" s="13">
        <v>25781.349609375</v>
      </c>
    </row>
    <row r="10" spans="1:15">
      <c r="A10" s="95">
        <v>7087.13</v>
      </c>
      <c r="B10" s="95">
        <v>8000</v>
      </c>
      <c r="C10" s="96">
        <v>5451.974253906249</v>
      </c>
      <c r="D10" s="96">
        <v>10094.508016304349</v>
      </c>
      <c r="E10" s="97">
        <v>15000</v>
      </c>
      <c r="F10" s="98">
        <v>21000</v>
      </c>
      <c r="G10" s="97">
        <v>0.3</v>
      </c>
      <c r="H10" s="11">
        <v>20715</v>
      </c>
      <c r="I10" s="12">
        <v>21565</v>
      </c>
      <c r="J10" s="10">
        <v>21000</v>
      </c>
      <c r="K10" s="10">
        <v>15000</v>
      </c>
      <c r="L10" s="10">
        <v>3443.7239062402341</v>
      </c>
      <c r="M10" s="10">
        <v>5754.5043690557068</v>
      </c>
      <c r="N10" s="13">
        <v>11756.83</v>
      </c>
      <c r="O10" s="13">
        <v>21768.150390625</v>
      </c>
    </row>
    <row r="11" spans="1:15">
      <c r="A11" s="95">
        <v>8000</v>
      </c>
      <c r="B11" s="95">
        <v>9000</v>
      </c>
      <c r="C11" s="96">
        <v>1164.53857421875</v>
      </c>
      <c r="D11" s="96"/>
      <c r="E11" s="97">
        <v>35000</v>
      </c>
      <c r="F11" s="98">
        <v>22130</v>
      </c>
      <c r="G11" s="97">
        <v>0.5</v>
      </c>
      <c r="H11" s="11">
        <v>21565</v>
      </c>
      <c r="I11" s="12">
        <v>22569.786520270507</v>
      </c>
      <c r="J11" s="10">
        <v>22130</v>
      </c>
      <c r="K11" s="10">
        <v>35000</v>
      </c>
      <c r="L11" s="10">
        <v>2524.9422028192475</v>
      </c>
      <c r="M11" s="10">
        <v>4430.4591159986412</v>
      </c>
      <c r="N11" s="13">
        <v>1397.45</v>
      </c>
      <c r="O11" s="13">
        <v>0</v>
      </c>
    </row>
    <row r="12" spans="1:15">
      <c r="A12" s="95">
        <v>9000</v>
      </c>
      <c r="B12" s="95">
        <v>10000</v>
      </c>
      <c r="C12" s="96">
        <v>610.09228515625</v>
      </c>
      <c r="D12" s="96"/>
      <c r="E12" s="97">
        <v>80000</v>
      </c>
      <c r="F12" s="98">
        <v>29400</v>
      </c>
      <c r="G12" s="97">
        <v>0.5</v>
      </c>
      <c r="H12" s="11">
        <v>22569.786520270507</v>
      </c>
      <c r="I12" s="12">
        <v>23949.605771153743</v>
      </c>
      <c r="J12" s="10">
        <v>29400</v>
      </c>
      <c r="K12" s="10">
        <v>80000</v>
      </c>
      <c r="L12" s="10">
        <v>3986.211753777503</v>
      </c>
      <c r="M12" s="10">
        <v>76037.217516245219</v>
      </c>
      <c r="N12" s="13">
        <v>366.06</v>
      </c>
      <c r="O12" s="13">
        <v>0</v>
      </c>
    </row>
    <row r="13" spans="1:15">
      <c r="A13" s="95">
        <v>10000</v>
      </c>
      <c r="B13" s="95">
        <v>11000</v>
      </c>
      <c r="C13" s="96">
        <v>6664.0871328124995</v>
      </c>
      <c r="D13" s="96">
        <v>13915.062703804349</v>
      </c>
      <c r="E13" s="97">
        <v>50000</v>
      </c>
      <c r="F13" s="98">
        <v>30010</v>
      </c>
      <c r="G13" s="97">
        <v>0.8</v>
      </c>
      <c r="H13" s="11">
        <v>23949.605771153743</v>
      </c>
      <c r="I13" s="12">
        <v>25492.297232080949</v>
      </c>
      <c r="J13" s="10">
        <v>30010</v>
      </c>
      <c r="K13" s="10">
        <v>50000</v>
      </c>
      <c r="L13" s="10">
        <v>15990.795195170462</v>
      </c>
      <c r="M13" s="10">
        <v>27973.08836946353</v>
      </c>
      <c r="N13" s="13">
        <v>10662.54</v>
      </c>
      <c r="O13" s="13">
        <v>22264.099609375</v>
      </c>
    </row>
    <row r="14" spans="1:15">
      <c r="A14" s="95">
        <v>11000</v>
      </c>
      <c r="B14" s="95">
        <v>11110.290999999999</v>
      </c>
      <c r="C14" s="96">
        <v>2011.3923983154295</v>
      </c>
      <c r="D14" s="96">
        <v>4617.8980505901836</v>
      </c>
      <c r="E14" s="97">
        <v>45000</v>
      </c>
      <c r="F14" s="98">
        <v>31850</v>
      </c>
      <c r="G14" s="97">
        <v>0.4</v>
      </c>
      <c r="H14" s="11">
        <v>25492.297232080949</v>
      </c>
      <c r="I14" s="12">
        <v>26951.743276883521</v>
      </c>
      <c r="J14" s="10">
        <v>31850</v>
      </c>
      <c r="K14" s="10">
        <v>45000</v>
      </c>
      <c r="L14" s="10">
        <v>12492.678642714913</v>
      </c>
      <c r="M14" s="10">
        <v>24041.7593889813</v>
      </c>
      <c r="N14" s="13">
        <v>4334.84</v>
      </c>
      <c r="O14" s="13">
        <v>9952.240234375</v>
      </c>
    </row>
    <row r="15" spans="1:15">
      <c r="A15" s="95">
        <v>11110.290999999999</v>
      </c>
      <c r="B15" s="95">
        <v>12000</v>
      </c>
      <c r="C15" s="96">
        <v>15310.541355468749</v>
      </c>
      <c r="D15" s="96">
        <v>33728.472724184787</v>
      </c>
      <c r="E15" s="97">
        <v>30000</v>
      </c>
      <c r="F15" s="98">
        <v>33750</v>
      </c>
      <c r="G15" s="97">
        <v>0.5</v>
      </c>
      <c r="H15" s="11">
        <v>26951.743276883521</v>
      </c>
      <c r="I15" s="12">
        <v>29010.422520250384</v>
      </c>
      <c r="J15" s="10">
        <v>33750</v>
      </c>
      <c r="K15" s="10">
        <v>30000</v>
      </c>
      <c r="L15" s="10">
        <v>14500.668494876811</v>
      </c>
      <c r="M15" s="10">
        <v>0</v>
      </c>
      <c r="N15" s="13">
        <v>40651.72</v>
      </c>
      <c r="O15" s="13">
        <v>89554</v>
      </c>
    </row>
    <row r="16" spans="1:15">
      <c r="A16" s="95">
        <v>12000</v>
      </c>
      <c r="B16" s="95">
        <v>13000</v>
      </c>
      <c r="C16" s="96">
        <v>8592.1213398437503</v>
      </c>
      <c r="D16" s="96">
        <v>18055.53206521739</v>
      </c>
      <c r="E16" s="97">
        <v>5000</v>
      </c>
      <c r="F16" s="98">
        <v>35300</v>
      </c>
      <c r="G16" s="97">
        <v>0.6</v>
      </c>
      <c r="H16" s="11">
        <v>29010.422520250384</v>
      </c>
      <c r="I16" s="12">
        <v>29326.750342103005</v>
      </c>
      <c r="J16" s="10">
        <v>35300</v>
      </c>
      <c r="K16" s="10">
        <v>5000</v>
      </c>
      <c r="L16" s="10">
        <v>3720.5913861162444</v>
      </c>
      <c r="M16" s="10">
        <v>1278.3021109911699</v>
      </c>
      <c r="N16" s="13">
        <v>32993.75</v>
      </c>
      <c r="O16" s="13">
        <v>69333.2421875</v>
      </c>
    </row>
    <row r="17" spans="1:15">
      <c r="A17" s="95">
        <v>13000</v>
      </c>
      <c r="B17" s="95">
        <v>14000</v>
      </c>
      <c r="C17" s="96">
        <v>1961.3911679687496</v>
      </c>
      <c r="D17" s="96">
        <v>2628.6266941236418</v>
      </c>
      <c r="E17" s="97">
        <v>70000</v>
      </c>
      <c r="F17" s="98">
        <v>37460</v>
      </c>
      <c r="G17" s="97">
        <v>0.4</v>
      </c>
      <c r="H17" s="11">
        <v>29326.750342103005</v>
      </c>
      <c r="I17" s="12">
        <v>30300.910848845331</v>
      </c>
      <c r="J17" s="10">
        <v>37460</v>
      </c>
      <c r="K17" s="10">
        <v>70000</v>
      </c>
      <c r="L17" s="10">
        <v>25319.480025270532</v>
      </c>
      <c r="M17" s="10">
        <v>44702.665607263116</v>
      </c>
      <c r="N17" s="13">
        <v>6668.73</v>
      </c>
      <c r="O17" s="13">
        <v>8937.330078125</v>
      </c>
    </row>
    <row r="18" spans="1:15">
      <c r="A18" s="95">
        <v>14000</v>
      </c>
      <c r="B18" s="95">
        <v>15000</v>
      </c>
      <c r="C18" s="96">
        <v>6831.1510234375</v>
      </c>
      <c r="D18" s="96">
        <v>11481.96628736413</v>
      </c>
      <c r="E18" s="97">
        <v>35000</v>
      </c>
      <c r="F18" s="98">
        <v>38280</v>
      </c>
      <c r="G18" s="97">
        <v>0.6</v>
      </c>
      <c r="H18" s="11">
        <v>30300.910848845331</v>
      </c>
      <c r="I18" s="12">
        <v>30692.823063614989</v>
      </c>
      <c r="J18" s="10">
        <v>38280</v>
      </c>
      <c r="K18" s="10">
        <v>35000</v>
      </c>
      <c r="L18" s="10">
        <v>10918.970517068581</v>
      </c>
      <c r="M18" s="10">
        <v>24105.583162894342</v>
      </c>
      <c r="N18" s="13">
        <v>16394.759999999998</v>
      </c>
      <c r="O18" s="13">
        <v>27556.720703125</v>
      </c>
    </row>
    <row r="19" spans="1:15">
      <c r="A19" s="95">
        <v>15000</v>
      </c>
      <c r="B19" s="95">
        <v>16000</v>
      </c>
      <c r="C19" s="96">
        <v>3356.0749999999998</v>
      </c>
      <c r="D19" s="96">
        <v>0</v>
      </c>
      <c r="E19" s="97">
        <v>20000</v>
      </c>
      <c r="F19" s="98">
        <v>38280</v>
      </c>
      <c r="G19" s="97">
        <v>0.3</v>
      </c>
      <c r="H19" s="11">
        <v>30692.823063614989</v>
      </c>
      <c r="I19" s="12">
        <v>30916.762454154537</v>
      </c>
      <c r="J19" s="10">
        <v>38280</v>
      </c>
      <c r="K19" s="10">
        <v>20000</v>
      </c>
      <c r="L19" s="10">
        <v>6239.1240989715498</v>
      </c>
      <c r="M19" s="10">
        <v>13773.98396637069</v>
      </c>
      <c r="N19" s="13">
        <v>4698.5</v>
      </c>
      <c r="O19" s="13">
        <v>0</v>
      </c>
    </row>
    <row r="20" spans="1:15">
      <c r="A20" s="95">
        <v>16000</v>
      </c>
      <c r="B20" s="95">
        <v>17000</v>
      </c>
      <c r="C20" s="96">
        <v>4201.7449218749998</v>
      </c>
      <c r="D20" s="96">
        <v>0</v>
      </c>
      <c r="E20" s="97">
        <v>93200</v>
      </c>
      <c r="F20" s="98">
        <v>47000</v>
      </c>
      <c r="G20" s="97">
        <v>0.6</v>
      </c>
      <c r="H20" s="11">
        <v>30916.762454154537</v>
      </c>
      <c r="I20" s="12">
        <v>34137.409422229342</v>
      </c>
      <c r="J20" s="10">
        <v>47000</v>
      </c>
      <c r="K20" s="10">
        <v>93200</v>
      </c>
      <c r="L20" s="10">
        <v>33651.297454794825</v>
      </c>
      <c r="M20" s="10">
        <v>59489.607424306065</v>
      </c>
      <c r="N20" s="13">
        <v>2137.85</v>
      </c>
      <c r="O20" s="13">
        <v>0</v>
      </c>
    </row>
    <row r="21" spans="1:15">
      <c r="A21" s="95">
        <v>17000</v>
      </c>
      <c r="B21" s="95">
        <v>18000</v>
      </c>
      <c r="C21" s="96">
        <v>6778.0692890624987</v>
      </c>
      <c r="D21" s="96">
        <v>0</v>
      </c>
      <c r="E21" s="97">
        <v>30000</v>
      </c>
      <c r="F21" s="98">
        <v>47400</v>
      </c>
      <c r="G21" s="97">
        <v>0.3</v>
      </c>
      <c r="H21" s="11">
        <v>34137.409422229342</v>
      </c>
      <c r="I21" s="12">
        <v>34912.774491281642</v>
      </c>
      <c r="J21" s="10">
        <v>47400</v>
      </c>
      <c r="K21" s="10">
        <v>30000</v>
      </c>
      <c r="L21" s="10">
        <v>9735.9178242192083</v>
      </c>
      <c r="M21" s="10">
        <v>20274.298368871274</v>
      </c>
      <c r="N21" s="13">
        <v>9917.67</v>
      </c>
      <c r="O21" s="13">
        <v>0</v>
      </c>
    </row>
    <row r="22" spans="1:15">
      <c r="A22" s="95">
        <v>18000</v>
      </c>
      <c r="B22" s="95">
        <v>19000</v>
      </c>
      <c r="C22" s="96">
        <v>13794.64890625</v>
      </c>
      <c r="D22" s="96">
        <v>18268.452292798916</v>
      </c>
      <c r="E22" s="97">
        <v>150000</v>
      </c>
      <c r="F22" s="98">
        <v>48095</v>
      </c>
      <c r="G22" s="97">
        <v>0.5</v>
      </c>
      <c r="H22" s="11">
        <v>34912.774491281642</v>
      </c>
      <c r="I22" s="12">
        <v>46141.597193940062</v>
      </c>
      <c r="J22" s="10">
        <v>48095</v>
      </c>
      <c r="K22" s="10">
        <v>150000</v>
      </c>
      <c r="L22" s="10">
        <v>82230.644841668443</v>
      </c>
      <c r="M22" s="10">
        <v>67755.390654733215</v>
      </c>
      <c r="N22" s="13">
        <v>13794.65</v>
      </c>
      <c r="O22" s="13">
        <v>18268.44921875</v>
      </c>
    </row>
    <row r="23" spans="1:15">
      <c r="A23" s="95">
        <v>19000</v>
      </c>
      <c r="B23" s="95">
        <v>20000</v>
      </c>
      <c r="C23" s="96">
        <v>4039.1464492187501</v>
      </c>
      <c r="D23" s="96">
        <v>4533.6741253396758</v>
      </c>
      <c r="E23" s="97">
        <v>130000</v>
      </c>
      <c r="F23" s="95">
        <v>49560</v>
      </c>
      <c r="G23" s="96">
        <v>0.4</v>
      </c>
      <c r="H23" s="11">
        <v>46141.597193940062</v>
      </c>
      <c r="I23" s="12">
        <v>46572.844160824818</v>
      </c>
      <c r="J23" s="10">
        <v>49560</v>
      </c>
      <c r="K23" s="10">
        <v>130000</v>
      </c>
      <c r="L23" s="10">
        <v>38647.581806973503</v>
      </c>
      <c r="M23" s="10">
        <v>91397.654583456751</v>
      </c>
      <c r="N23" s="13">
        <v>6103.35</v>
      </c>
      <c r="O23" s="13">
        <v>6850.60986328125</v>
      </c>
    </row>
    <row r="24" spans="1:15">
      <c r="A24" s="95">
        <v>20000</v>
      </c>
      <c r="B24" s="95">
        <v>21000</v>
      </c>
      <c r="C24" s="96">
        <v>2340.4664062500001</v>
      </c>
      <c r="D24" s="96"/>
      <c r="E24" s="97">
        <v>280000</v>
      </c>
      <c r="F24" s="95">
        <v>50600</v>
      </c>
      <c r="G24" s="96">
        <v>0.6</v>
      </c>
      <c r="H24" s="11">
        <v>46572.844160824818</v>
      </c>
      <c r="I24" s="12">
        <v>50171.479165458142</v>
      </c>
      <c r="J24" s="10">
        <v>50600</v>
      </c>
      <c r="K24" s="10">
        <v>280000</v>
      </c>
      <c r="L24" s="10">
        <v>86886.388195519045</v>
      </c>
      <c r="M24" s="10">
        <v>193133.60104108864</v>
      </c>
      <c r="N24" s="13">
        <v>1152.8</v>
      </c>
      <c r="O24" s="13">
        <v>0</v>
      </c>
    </row>
    <row r="25" spans="1:15">
      <c r="A25" s="95">
        <v>21000</v>
      </c>
      <c r="B25" s="95">
        <v>22000</v>
      </c>
      <c r="C25" s="96">
        <v>4914.4973105468744</v>
      </c>
      <c r="D25" s="96">
        <v>10184.963485054348</v>
      </c>
      <c r="E25" s="97">
        <v>120000</v>
      </c>
      <c r="F25" s="95">
        <v>51140</v>
      </c>
      <c r="G25" s="96">
        <v>0.6</v>
      </c>
      <c r="H25" s="11">
        <v>50171.479165458142</v>
      </c>
      <c r="I25" s="12">
        <v>53396.711751545961</v>
      </c>
      <c r="J25" s="10">
        <v>51140</v>
      </c>
      <c r="K25" s="10">
        <v>120000</v>
      </c>
      <c r="L25" s="10">
        <v>41043.108128362233</v>
      </c>
      <c r="M25" s="10">
        <v>78964.644386412925</v>
      </c>
      <c r="N25" s="13">
        <v>4637.07</v>
      </c>
      <c r="O25" s="13">
        <v>9610.01953125</v>
      </c>
    </row>
    <row r="26" spans="1:15">
      <c r="A26" s="95">
        <v>22000</v>
      </c>
      <c r="B26" s="95">
        <v>22183.681</v>
      </c>
      <c r="C26" s="96">
        <v>195.83382568359374</v>
      </c>
      <c r="D26" s="96">
        <v>0</v>
      </c>
      <c r="E26" s="97">
        <v>25000</v>
      </c>
      <c r="F26" s="95">
        <v>51760</v>
      </c>
      <c r="G26" s="96">
        <v>0.4</v>
      </c>
      <c r="H26" s="10">
        <v>53396.711751545961</v>
      </c>
      <c r="I26" s="12">
        <v>55119.661</v>
      </c>
      <c r="J26" s="10">
        <v>51760</v>
      </c>
      <c r="K26" s="10">
        <v>25000</v>
      </c>
      <c r="L26" s="10">
        <v>12811.673276610905</v>
      </c>
      <c r="M26" s="10">
        <v>12125.153160695339</v>
      </c>
      <c r="N26" s="13">
        <v>105.39</v>
      </c>
      <c r="O26" s="13">
        <v>0</v>
      </c>
    </row>
    <row r="27" spans="1:15">
      <c r="A27" s="95">
        <v>22183.681</v>
      </c>
      <c r="B27" s="95">
        <v>22720</v>
      </c>
      <c r="C27" s="96">
        <v>265.72727050781248</v>
      </c>
      <c r="D27" s="96">
        <v>0</v>
      </c>
      <c r="E27" s="96"/>
      <c r="N27" s="13">
        <v>711.55</v>
      </c>
      <c r="O27" s="13">
        <v>0</v>
      </c>
    </row>
    <row r="28" spans="1:15">
      <c r="A28" s="95">
        <v>22720</v>
      </c>
      <c r="B28" s="95">
        <v>23575</v>
      </c>
      <c r="C28" s="96">
        <v>0</v>
      </c>
      <c r="D28" s="96">
        <v>67393.425367251184</v>
      </c>
      <c r="E28" s="97"/>
      <c r="N28" s="13">
        <v>0</v>
      </c>
      <c r="O28" s="13">
        <v>455074.09375</v>
      </c>
    </row>
    <row r="29" spans="1:15">
      <c r="A29" s="95">
        <v>23575</v>
      </c>
      <c r="B29" s="95">
        <v>24000</v>
      </c>
      <c r="C29" s="96">
        <v>4438.0272421874997</v>
      </c>
      <c r="D29" s="96">
        <v>9806.6151452105987</v>
      </c>
      <c r="N29" s="13">
        <v>27606.32</v>
      </c>
      <c r="O29" s="13">
        <v>61001.1015625</v>
      </c>
    </row>
    <row r="30" spans="1:15">
      <c r="A30" s="95">
        <v>24000</v>
      </c>
      <c r="B30" s="95">
        <v>24577.013999999999</v>
      </c>
      <c r="C30" s="96">
        <v>5068.0186874999999</v>
      </c>
      <c r="D30" s="96">
        <v>7801.5116338315256</v>
      </c>
      <c r="N30" s="13">
        <v>33051.040000000001</v>
      </c>
      <c r="O30" s="13">
        <v>50877.5</v>
      </c>
    </row>
    <row r="31" spans="1:15">
      <c r="A31" s="95">
        <v>24577.013999999999</v>
      </c>
      <c r="B31" s="95">
        <v>25000</v>
      </c>
      <c r="C31" s="96">
        <v>1682.05546875</v>
      </c>
      <c r="D31" s="96">
        <v>0</v>
      </c>
      <c r="N31" s="13">
        <v>10128.48</v>
      </c>
      <c r="O31" s="13">
        <v>0</v>
      </c>
    </row>
    <row r="32" spans="1:15">
      <c r="A32" s="95">
        <v>25000</v>
      </c>
      <c r="B32" s="95">
        <v>26000</v>
      </c>
      <c r="C32" s="96">
        <v>17701.677117187501</v>
      </c>
      <c r="D32" s="96">
        <v>38612.379449728258</v>
      </c>
      <c r="N32" s="13">
        <v>106937.46</v>
      </c>
      <c r="O32" s="13">
        <v>233260.921875</v>
      </c>
    </row>
    <row r="33" spans="1:15">
      <c r="A33" s="95">
        <v>26000</v>
      </c>
      <c r="B33" s="95">
        <v>26924.61</v>
      </c>
      <c r="C33" s="96">
        <v>3374.9125156250002</v>
      </c>
      <c r="D33" s="96">
        <v>4438.1336786684806</v>
      </c>
      <c r="N33" s="13">
        <v>19532.97</v>
      </c>
      <c r="O33" s="13">
        <v>25686.5703125</v>
      </c>
    </row>
    <row r="34" spans="1:15">
      <c r="A34" s="95">
        <v>26924.61</v>
      </c>
      <c r="B34" s="95">
        <v>27000</v>
      </c>
      <c r="C34" s="96">
        <v>362.77626953125002</v>
      </c>
      <c r="D34" s="96">
        <v>0</v>
      </c>
      <c r="N34" s="13">
        <v>2382.67</v>
      </c>
      <c r="O34" s="13">
        <v>0</v>
      </c>
    </row>
    <row r="35" spans="1:15">
      <c r="A35" s="95">
        <v>27000</v>
      </c>
      <c r="B35" s="95">
        <v>28000</v>
      </c>
      <c r="C35" s="96">
        <v>4711.2449218749998</v>
      </c>
      <c r="D35" s="96">
        <v>0</v>
      </c>
      <c r="N35" s="13">
        <v>31800.9</v>
      </c>
      <c r="O35" s="13">
        <v>0</v>
      </c>
    </row>
    <row r="36" spans="1:15">
      <c r="A36" s="95">
        <v>28000</v>
      </c>
      <c r="B36" s="95">
        <v>29000</v>
      </c>
      <c r="C36" s="96">
        <v>9450.8148437500004</v>
      </c>
      <c r="D36" s="96">
        <v>0</v>
      </c>
      <c r="N36" s="13">
        <v>54342.18</v>
      </c>
      <c r="O36" s="13">
        <v>0</v>
      </c>
    </row>
    <row r="37" spans="1:15">
      <c r="A37" s="95">
        <v>29000</v>
      </c>
      <c r="B37" s="95">
        <v>29293.895</v>
      </c>
      <c r="C37" s="96">
        <v>3000.5115234374998</v>
      </c>
      <c r="D37" s="96">
        <v>0</v>
      </c>
      <c r="N37" s="13">
        <v>20087.04</v>
      </c>
      <c r="O37" s="13">
        <v>0</v>
      </c>
    </row>
    <row r="38" spans="1:15">
      <c r="A38" s="95">
        <v>29293.895</v>
      </c>
      <c r="B38" s="95">
        <v>30000</v>
      </c>
      <c r="C38" s="96">
        <v>17762.375044189452</v>
      </c>
      <c r="D38" s="96">
        <v>27472.698587168816</v>
      </c>
      <c r="N38" s="13">
        <v>144263.38</v>
      </c>
      <c r="O38" s="13">
        <v>223129.203125</v>
      </c>
    </row>
    <row r="39" spans="1:15">
      <c r="A39" s="95">
        <v>30000</v>
      </c>
      <c r="B39" s="95">
        <v>31000</v>
      </c>
      <c r="C39" s="96">
        <v>27860.763308593749</v>
      </c>
      <c r="D39" s="96">
        <v>61507.625271739133</v>
      </c>
      <c r="N39" s="13">
        <v>243272.4</v>
      </c>
      <c r="O39" s="13">
        <v>537067.375</v>
      </c>
    </row>
    <row r="40" spans="1:15">
      <c r="A40" s="95">
        <v>31000</v>
      </c>
      <c r="B40" s="95">
        <v>32000</v>
      </c>
      <c r="C40" s="96">
        <v>2603.1482968749997</v>
      </c>
      <c r="D40" s="96">
        <v>0</v>
      </c>
      <c r="N40" s="13">
        <v>41910.69</v>
      </c>
      <c r="O40" s="13">
        <v>0</v>
      </c>
    </row>
    <row r="41" spans="1:15">
      <c r="A41" s="95">
        <v>32000</v>
      </c>
      <c r="B41" s="95">
        <v>33000</v>
      </c>
      <c r="C41" s="96">
        <v>13589.904054687502</v>
      </c>
      <c r="D41" s="96">
        <v>29143.945499320653</v>
      </c>
      <c r="N41" s="13">
        <v>205207.55</v>
      </c>
      <c r="O41" s="13">
        <v>440073.5625</v>
      </c>
    </row>
    <row r="42" spans="1:15">
      <c r="A42" s="95">
        <v>33000</v>
      </c>
      <c r="B42" s="95">
        <v>34000</v>
      </c>
      <c r="C42" s="96">
        <v>13413.760234375002</v>
      </c>
      <c r="D42" s="96">
        <v>21632.854551630437</v>
      </c>
      <c r="N42" s="13">
        <v>189134.01</v>
      </c>
      <c r="O42" s="13">
        <v>305023.25</v>
      </c>
    </row>
    <row r="43" spans="1:15">
      <c r="A43" s="95">
        <v>34000</v>
      </c>
      <c r="B43" s="95">
        <v>35000</v>
      </c>
      <c r="C43" s="96">
        <v>12556.5887109375</v>
      </c>
      <c r="D43" s="96">
        <v>26148.12805706522</v>
      </c>
      <c r="N43" s="13">
        <v>166554.69</v>
      </c>
      <c r="O43" s="13">
        <v>346837.3125</v>
      </c>
    </row>
    <row r="44" spans="1:15">
      <c r="A44" s="95">
        <v>35000</v>
      </c>
      <c r="B44" s="95">
        <v>36000</v>
      </c>
      <c r="C44" s="96">
        <v>14995.396374999998</v>
      </c>
      <c r="D44" s="96">
        <v>35464.583033288043</v>
      </c>
      <c r="N44" s="13">
        <v>196364.72</v>
      </c>
      <c r="O44" s="13">
        <v>464408.71875</v>
      </c>
    </row>
    <row r="45" spans="1:15">
      <c r="A45" s="95">
        <v>36000</v>
      </c>
      <c r="B45" s="95">
        <v>37000</v>
      </c>
      <c r="C45" s="96">
        <v>1934.1017578125</v>
      </c>
      <c r="D45" s="96">
        <v>0</v>
      </c>
      <c r="N45" s="13">
        <v>23392.959999999999</v>
      </c>
      <c r="O45" s="13">
        <v>0</v>
      </c>
    </row>
    <row r="46" spans="1:15">
      <c r="A46" s="95">
        <v>37000</v>
      </c>
      <c r="B46" s="95">
        <v>38000</v>
      </c>
      <c r="C46" s="96">
        <v>3848.6078124999999</v>
      </c>
      <c r="D46" s="96">
        <v>0</v>
      </c>
      <c r="N46" s="13">
        <v>42700.3</v>
      </c>
      <c r="O46" s="13">
        <v>0</v>
      </c>
    </row>
    <row r="47" spans="1:15">
      <c r="A47" s="95">
        <v>38000</v>
      </c>
      <c r="B47" s="95">
        <v>39000</v>
      </c>
      <c r="C47" s="96">
        <v>6070.4457031250004</v>
      </c>
      <c r="D47" s="96">
        <v>0</v>
      </c>
      <c r="N47" s="13">
        <v>61281.15</v>
      </c>
      <c r="O47" s="13">
        <v>0</v>
      </c>
    </row>
    <row r="48" spans="1:15">
      <c r="A48" s="95">
        <v>39000</v>
      </c>
      <c r="B48" s="95">
        <v>40000</v>
      </c>
      <c r="C48" s="96">
        <v>2241.5046874999998</v>
      </c>
      <c r="D48" s="96">
        <v>0</v>
      </c>
      <c r="N48" s="13">
        <v>20386.48</v>
      </c>
      <c r="O48" s="13">
        <v>0</v>
      </c>
    </row>
    <row r="49" spans="1:15">
      <c r="A49" s="95">
        <v>40000</v>
      </c>
      <c r="B49" s="95">
        <v>40500</v>
      </c>
      <c r="C49" s="96">
        <v>780.50834960937505</v>
      </c>
      <c r="D49" s="96">
        <v>0</v>
      </c>
      <c r="N49" s="13">
        <v>6513.34</v>
      </c>
      <c r="O49" s="13">
        <v>0</v>
      </c>
    </row>
    <row r="50" spans="1:15">
      <c r="A50" s="95">
        <v>40500</v>
      </c>
      <c r="B50" s="95">
        <v>41000</v>
      </c>
      <c r="C50" s="96">
        <v>4748.9519531249998</v>
      </c>
      <c r="D50" s="96">
        <v>0</v>
      </c>
      <c r="N50" s="13">
        <v>37255.53</v>
      </c>
      <c r="O50" s="13">
        <v>0</v>
      </c>
    </row>
    <row r="51" spans="1:15">
      <c r="A51" s="95">
        <v>41000</v>
      </c>
      <c r="B51" s="95">
        <v>41647.86</v>
      </c>
      <c r="C51" s="96">
        <v>3706.6714843750001</v>
      </c>
      <c r="D51" s="96">
        <v>0</v>
      </c>
      <c r="N51" s="13">
        <v>26951.47</v>
      </c>
      <c r="O51" s="13">
        <v>0</v>
      </c>
    </row>
    <row r="52" spans="1:15">
      <c r="A52" s="95">
        <v>41647.86</v>
      </c>
      <c r="B52" s="95">
        <v>42000</v>
      </c>
      <c r="C52" s="96">
        <v>1083.0098632812501</v>
      </c>
      <c r="D52" s="96">
        <v>0</v>
      </c>
      <c r="N52" s="13">
        <v>7333.14</v>
      </c>
      <c r="O52" s="13">
        <v>0</v>
      </c>
    </row>
    <row r="53" spans="1:15">
      <c r="A53" s="95">
        <v>42000</v>
      </c>
      <c r="B53" s="95">
        <v>43000</v>
      </c>
      <c r="C53" s="96">
        <v>4349.4074218750002</v>
      </c>
      <c r="D53" s="96">
        <v>0</v>
      </c>
      <c r="N53" s="13">
        <v>26509.64</v>
      </c>
      <c r="O53" s="13">
        <v>0</v>
      </c>
    </row>
    <row r="54" spans="1:15">
      <c r="A54" s="95">
        <v>43000</v>
      </c>
      <c r="B54" s="95">
        <v>43109.798000000003</v>
      </c>
      <c r="C54" s="96">
        <v>5.8037101745605471</v>
      </c>
      <c r="D54" s="96">
        <v>0</v>
      </c>
      <c r="N54" s="13">
        <v>32.15</v>
      </c>
      <c r="O54" s="13">
        <v>0</v>
      </c>
    </row>
    <row r="55" spans="1:15">
      <c r="A55" s="95">
        <v>43109.798000000003</v>
      </c>
      <c r="B55" s="95">
        <v>44000</v>
      </c>
      <c r="C55" s="96">
        <v>8144.5460937500002</v>
      </c>
      <c r="D55" s="96">
        <v>0</v>
      </c>
      <c r="N55" s="13">
        <v>41049.339999999997</v>
      </c>
      <c r="O55" s="13">
        <v>0</v>
      </c>
    </row>
    <row r="56" spans="1:15">
      <c r="A56" s="95">
        <v>44000</v>
      </c>
      <c r="B56" s="95">
        <v>45000</v>
      </c>
      <c r="C56" s="96">
        <v>10576.660937500001</v>
      </c>
      <c r="D56" s="96">
        <v>0</v>
      </c>
      <c r="N56" s="13">
        <v>43311.43</v>
      </c>
      <c r="O56" s="13">
        <v>0</v>
      </c>
    </row>
    <row r="57" spans="1:15">
      <c r="A57" s="95">
        <v>45000</v>
      </c>
      <c r="B57" s="95">
        <v>46000</v>
      </c>
      <c r="C57" s="96">
        <v>5960.0062500000004</v>
      </c>
      <c r="D57" s="96">
        <v>0</v>
      </c>
      <c r="N57" s="13">
        <v>18446.22</v>
      </c>
      <c r="O57" s="13">
        <v>0</v>
      </c>
    </row>
    <row r="58" spans="1:15">
      <c r="A58" s="95">
        <v>46000</v>
      </c>
      <c r="B58" s="95">
        <v>47000</v>
      </c>
      <c r="C58" s="96">
        <v>89618.392762481686</v>
      </c>
      <c r="D58" s="96">
        <v>211938.51007133155</v>
      </c>
      <c r="N58" s="13">
        <v>340226.65</v>
      </c>
      <c r="O58" s="13">
        <v>804601.9375</v>
      </c>
    </row>
    <row r="59" spans="1:15">
      <c r="A59" s="95">
        <v>47000</v>
      </c>
      <c r="B59" s="95">
        <v>48000</v>
      </c>
      <c r="C59" s="96">
        <v>18437.359312500001</v>
      </c>
      <c r="D59" s="96">
        <v>42472.591168478262</v>
      </c>
      <c r="N59" s="13">
        <v>68218.23</v>
      </c>
      <c r="O59" s="13">
        <v>157148.578125</v>
      </c>
    </row>
    <row r="60" spans="1:15">
      <c r="A60" s="95">
        <v>48000</v>
      </c>
      <c r="B60" s="95">
        <v>49000</v>
      </c>
      <c r="C60" s="96">
        <v>13634.311070312498</v>
      </c>
      <c r="D60" s="96">
        <v>27420.798216711959</v>
      </c>
      <c r="N60" s="13">
        <v>36812.639999999999</v>
      </c>
      <c r="O60" s="13">
        <v>74036.15625</v>
      </c>
    </row>
    <row r="61" spans="1:15">
      <c r="A61" s="95">
        <v>49000</v>
      </c>
      <c r="B61" s="95">
        <v>50000</v>
      </c>
      <c r="C61" s="96">
        <v>13609.381507812501</v>
      </c>
      <c r="D61" s="96">
        <v>26925.719904891313</v>
      </c>
      <c r="N61" s="13">
        <v>23135.95</v>
      </c>
      <c r="O61" s="13">
        <v>45773.71875</v>
      </c>
    </row>
    <row r="62" spans="1:15">
      <c r="A62" s="95">
        <v>50000</v>
      </c>
      <c r="B62" s="95">
        <v>51000</v>
      </c>
      <c r="C62" s="96">
        <v>17053.135804687499</v>
      </c>
      <c r="D62" s="96">
        <v>33727.64607252038</v>
      </c>
      <c r="N62" s="13">
        <v>19566.79</v>
      </c>
      <c r="O62" s="13">
        <v>38699.140625</v>
      </c>
    </row>
    <row r="63" spans="1:15">
      <c r="A63" s="95">
        <v>51000</v>
      </c>
      <c r="B63" s="95">
        <v>51467.330999999998</v>
      </c>
      <c r="C63" s="96">
        <v>1147.93720703125</v>
      </c>
      <c r="D63" s="96">
        <v>0</v>
      </c>
      <c r="N63" s="13">
        <v>796.28</v>
      </c>
      <c r="O63" s="13">
        <v>0</v>
      </c>
    </row>
    <row r="64" spans="1:15">
      <c r="A64" s="95">
        <v>51467.330999999998</v>
      </c>
      <c r="B64" s="95">
        <v>52000</v>
      </c>
      <c r="C64" s="96">
        <v>5395.1587656250013</v>
      </c>
      <c r="D64" s="96">
        <v>9763.5353515625011</v>
      </c>
      <c r="N64" s="13">
        <v>6440.01</v>
      </c>
      <c r="O64" s="13">
        <v>11654.3798828125</v>
      </c>
    </row>
    <row r="65" spans="1:15">
      <c r="A65" s="95">
        <v>52000</v>
      </c>
      <c r="B65" s="95">
        <v>53000</v>
      </c>
      <c r="C65" s="96">
        <v>4093.4205585937502</v>
      </c>
      <c r="D65" s="96">
        <v>7405.7786854619571</v>
      </c>
      <c r="N65" s="13">
        <v>8023.1</v>
      </c>
      <c r="O65" s="13">
        <v>14515.330078125</v>
      </c>
    </row>
    <row r="66" spans="1:15">
      <c r="A66" s="95">
        <v>53000</v>
      </c>
      <c r="B66" s="95">
        <v>53492.406000000003</v>
      </c>
      <c r="C66" s="96">
        <v>20204.269345214845</v>
      </c>
      <c r="D66" s="96">
        <v>42016.969894011127</v>
      </c>
      <c r="N66" s="13">
        <v>51457.120000000003</v>
      </c>
      <c r="O66" s="13">
        <v>107010.65625</v>
      </c>
    </row>
    <row r="67" spans="1:15">
      <c r="A67" s="95">
        <v>53492.406000000003</v>
      </c>
      <c r="B67" s="95">
        <v>54000</v>
      </c>
      <c r="C67" s="96">
        <v>5763.8461874999994</v>
      </c>
      <c r="D67" s="96">
        <v>3959.5001019021802</v>
      </c>
      <c r="N67" s="13">
        <v>13753.71</v>
      </c>
      <c r="O67" s="13">
        <v>9448.169921875</v>
      </c>
    </row>
    <row r="68" spans="1:15">
      <c r="A68" s="95">
        <v>54000</v>
      </c>
      <c r="B68" s="95">
        <v>55000</v>
      </c>
      <c r="C68" s="96">
        <v>3031.576171875</v>
      </c>
      <c r="D68" s="96">
        <v>0</v>
      </c>
      <c r="N68" s="13">
        <v>9519.15</v>
      </c>
      <c r="O68" s="13">
        <v>0</v>
      </c>
    </row>
    <row r="69" spans="1:15">
      <c r="A69" s="95">
        <v>55000</v>
      </c>
      <c r="B69" s="95">
        <v>55119.661</v>
      </c>
      <c r="C69" s="96">
        <v>89.717718505859381</v>
      </c>
      <c r="D69" s="96">
        <v>0</v>
      </c>
      <c r="N69" s="13">
        <v>331.94</v>
      </c>
      <c r="O69" s="13">
        <v>0</v>
      </c>
    </row>
    <row r="81" spans="3:4">
      <c r="C81" s="96"/>
      <c r="D81" s="96"/>
    </row>
  </sheetData>
  <phoneticPr fontId="2" type="noConversion"/>
  <printOptions horizontalCentered="1" verticalCentered="1"/>
  <pageMargins left="0.98425196850393704" right="0.39370078740157499" top="0.78740157480314998" bottom="0.78740157480314998" header="0.78740157480314998" footer="0.59055118110236204"/>
  <pageSetup paperSize="8" orientation="landscape" cellComments="atEnd" verticalDpi="0" r:id="rId1"/>
  <headerFooter alignWithMargins="0">
    <oddHeader xml:space="preserve">&amp;R    C3-14-1  第 &amp;P 页 共 &amp;N 页   </oddHeader>
    <oddFooter>&amp;C编制:                                                                        复核:                                                                           审核: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15</xdr:col>
                <xdr:colOff>438150</xdr:colOff>
                <xdr:row>1</xdr:row>
                <xdr:rowOff>161925</xdr:rowOff>
              </from>
              <to>
                <xdr:col>17</xdr:col>
                <xdr:colOff>57150</xdr:colOff>
                <xdr:row>4</xdr:row>
                <xdr:rowOff>57150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U396"/>
  <sheetViews>
    <sheetView workbookViewId="0">
      <selection activeCell="K18" sqref="K18"/>
    </sheetView>
  </sheetViews>
  <sheetFormatPr defaultRowHeight="13.5"/>
  <sheetData>
    <row r="1" spans="1:21">
      <c r="A1" t="s">
        <v>0</v>
      </c>
    </row>
    <row r="2" spans="1:21">
      <c r="A2">
        <v>41647.86</v>
      </c>
    </row>
    <row r="3" spans="1:21">
      <c r="A3">
        <v>10</v>
      </c>
      <c r="B3">
        <v>0</v>
      </c>
      <c r="C3">
        <v>543.46360000000004</v>
      </c>
      <c r="D3">
        <v>0</v>
      </c>
      <c r="E3">
        <v>543.46360000000004</v>
      </c>
      <c r="F3">
        <v>-3.5</v>
      </c>
      <c r="G3">
        <v>543.39359999999999</v>
      </c>
      <c r="H3">
        <v>-4.25</v>
      </c>
      <c r="I3">
        <v>543.37860000000001</v>
      </c>
      <c r="J3">
        <v>-5</v>
      </c>
      <c r="K3">
        <v>543.35609999999997</v>
      </c>
      <c r="L3">
        <v>-5</v>
      </c>
      <c r="M3">
        <v>542.75609999999995</v>
      </c>
      <c r="N3">
        <v>-5.6</v>
      </c>
      <c r="O3">
        <v>542.75609999999995</v>
      </c>
      <c r="P3">
        <v>-5.6</v>
      </c>
      <c r="Q3">
        <v>543.35609999999997</v>
      </c>
      <c r="R3">
        <v>-5.9</v>
      </c>
      <c r="S3">
        <v>543.35609999999997</v>
      </c>
      <c r="T3">
        <v>-9.7952999999999992</v>
      </c>
      <c r="U3">
        <v>551.14660000000003</v>
      </c>
    </row>
    <row r="4" spans="1:21">
      <c r="A4">
        <v>10</v>
      </c>
      <c r="B4">
        <v>0</v>
      </c>
      <c r="C4">
        <v>543.46360000000004</v>
      </c>
      <c r="D4">
        <v>0</v>
      </c>
      <c r="E4">
        <v>543.46360000000004</v>
      </c>
      <c r="F4">
        <v>3.5</v>
      </c>
      <c r="G4">
        <v>543.39359999999999</v>
      </c>
      <c r="H4">
        <v>4.25</v>
      </c>
      <c r="I4">
        <v>543.37860000000001</v>
      </c>
      <c r="J4">
        <v>5</v>
      </c>
      <c r="K4">
        <v>543.35609999999997</v>
      </c>
      <c r="L4">
        <v>5</v>
      </c>
      <c r="M4">
        <v>542.75609999999995</v>
      </c>
      <c r="N4">
        <v>5.6</v>
      </c>
      <c r="O4">
        <v>542.75609999999995</v>
      </c>
      <c r="P4">
        <v>5.6</v>
      </c>
      <c r="Q4">
        <v>543.35609999999997</v>
      </c>
      <c r="R4">
        <v>5.9</v>
      </c>
      <c r="S4">
        <v>543.35609999999997</v>
      </c>
      <c r="T4">
        <v>7.6432000000000002</v>
      </c>
      <c r="U4">
        <v>546.84259999999995</v>
      </c>
    </row>
    <row r="6" spans="1:21">
      <c r="A6">
        <v>41660</v>
      </c>
    </row>
    <row r="7" spans="1:21">
      <c r="A7">
        <v>10</v>
      </c>
      <c r="B7">
        <v>0</v>
      </c>
      <c r="C7">
        <v>543.59709999999995</v>
      </c>
      <c r="D7">
        <v>0</v>
      </c>
      <c r="E7">
        <v>543.59709999999995</v>
      </c>
      <c r="F7">
        <v>-3.5</v>
      </c>
      <c r="G7">
        <v>543.52710000000002</v>
      </c>
      <c r="H7">
        <v>-4.25</v>
      </c>
      <c r="I7">
        <v>543.51210000000003</v>
      </c>
      <c r="J7">
        <v>-5</v>
      </c>
      <c r="K7">
        <v>543.4896</v>
      </c>
      <c r="L7">
        <v>-5</v>
      </c>
      <c r="M7">
        <v>542.88959999999997</v>
      </c>
      <c r="N7">
        <v>-5.6</v>
      </c>
      <c r="O7">
        <v>542.88959999999997</v>
      </c>
      <c r="P7">
        <v>-5.6</v>
      </c>
      <c r="Q7">
        <v>543.4896</v>
      </c>
      <c r="R7">
        <v>-5.9</v>
      </c>
      <c r="S7">
        <v>543.4896</v>
      </c>
      <c r="T7">
        <v>-9.6753</v>
      </c>
      <c r="U7">
        <v>551.0403</v>
      </c>
    </row>
    <row r="8" spans="1:21">
      <c r="A8">
        <v>10</v>
      </c>
      <c r="B8">
        <v>0</v>
      </c>
      <c r="C8">
        <v>543.59709999999995</v>
      </c>
      <c r="D8">
        <v>0</v>
      </c>
      <c r="E8">
        <v>543.59709999999995</v>
      </c>
      <c r="F8">
        <v>3.5</v>
      </c>
      <c r="G8">
        <v>543.52710000000002</v>
      </c>
      <c r="H8">
        <v>4.25</v>
      </c>
      <c r="I8">
        <v>543.51210000000003</v>
      </c>
      <c r="J8">
        <v>5</v>
      </c>
      <c r="K8">
        <v>543.4896</v>
      </c>
      <c r="L8">
        <v>5</v>
      </c>
      <c r="M8">
        <v>542.88959999999997</v>
      </c>
      <c r="N8">
        <v>5.6</v>
      </c>
      <c r="O8">
        <v>542.88959999999997</v>
      </c>
      <c r="P8">
        <v>5.6</v>
      </c>
      <c r="Q8">
        <v>543.4896</v>
      </c>
      <c r="R8">
        <v>5.9</v>
      </c>
      <c r="S8">
        <v>543.4896</v>
      </c>
      <c r="T8">
        <v>7.8295000000000003</v>
      </c>
      <c r="U8">
        <v>547.34860000000003</v>
      </c>
    </row>
    <row r="10" spans="1:21">
      <c r="A10">
        <v>41680</v>
      </c>
    </row>
    <row r="11" spans="1:21">
      <c r="A11">
        <v>10</v>
      </c>
      <c r="B11">
        <v>0</v>
      </c>
      <c r="C11">
        <v>543.81709999999998</v>
      </c>
      <c r="D11">
        <v>0</v>
      </c>
      <c r="E11">
        <v>543.81709999999998</v>
      </c>
      <c r="F11">
        <v>-3.5</v>
      </c>
      <c r="G11">
        <v>543.74710000000005</v>
      </c>
      <c r="H11">
        <v>-4.25</v>
      </c>
      <c r="I11">
        <v>543.73209999999995</v>
      </c>
      <c r="J11">
        <v>-5</v>
      </c>
      <c r="K11">
        <v>543.70960000000002</v>
      </c>
      <c r="L11">
        <v>-5</v>
      </c>
      <c r="M11">
        <v>543.1096</v>
      </c>
      <c r="N11">
        <v>-5.6</v>
      </c>
      <c r="O11">
        <v>543.1096</v>
      </c>
      <c r="P11">
        <v>-5.6</v>
      </c>
      <c r="Q11">
        <v>543.70960000000002</v>
      </c>
      <c r="R11">
        <v>-5.9</v>
      </c>
      <c r="S11">
        <v>543.70960000000002</v>
      </c>
      <c r="T11">
        <v>-8.7012</v>
      </c>
      <c r="U11">
        <v>549.31200000000001</v>
      </c>
    </row>
    <row r="12" spans="1:21">
      <c r="A12">
        <v>10</v>
      </c>
      <c r="B12">
        <v>0</v>
      </c>
      <c r="C12">
        <v>543.81709999999998</v>
      </c>
      <c r="D12">
        <v>0</v>
      </c>
      <c r="E12">
        <v>543.81709999999998</v>
      </c>
      <c r="F12">
        <v>3.5</v>
      </c>
      <c r="G12">
        <v>543.74710000000005</v>
      </c>
      <c r="H12">
        <v>4.25</v>
      </c>
      <c r="I12">
        <v>543.73209999999995</v>
      </c>
      <c r="J12">
        <v>5</v>
      </c>
      <c r="K12">
        <v>543.70960000000002</v>
      </c>
      <c r="L12">
        <v>5</v>
      </c>
      <c r="M12">
        <v>543.1096</v>
      </c>
      <c r="N12">
        <v>5.6</v>
      </c>
      <c r="O12">
        <v>543.1096</v>
      </c>
      <c r="P12">
        <v>5.6</v>
      </c>
      <c r="Q12">
        <v>543.70960000000002</v>
      </c>
      <c r="R12">
        <v>5.9</v>
      </c>
      <c r="S12">
        <v>543.70960000000002</v>
      </c>
      <c r="T12">
        <v>7.1441999999999997</v>
      </c>
      <c r="U12">
        <v>546.1979</v>
      </c>
    </row>
    <row r="14" spans="1:21">
      <c r="A14">
        <v>41696.603999999999</v>
      </c>
    </row>
    <row r="15" spans="1:21">
      <c r="A15">
        <v>10</v>
      </c>
      <c r="B15">
        <v>0</v>
      </c>
      <c r="C15">
        <v>543.99980000000005</v>
      </c>
      <c r="D15">
        <v>0</v>
      </c>
      <c r="E15">
        <v>543.99980000000005</v>
      </c>
      <c r="F15">
        <v>-3.5</v>
      </c>
      <c r="G15">
        <v>543.9298</v>
      </c>
      <c r="H15">
        <v>-4.25</v>
      </c>
      <c r="I15">
        <v>543.91480000000001</v>
      </c>
      <c r="J15">
        <v>-5</v>
      </c>
      <c r="K15">
        <v>543.89229999999998</v>
      </c>
      <c r="L15">
        <v>-5</v>
      </c>
      <c r="M15">
        <v>543.29229999999995</v>
      </c>
      <c r="N15">
        <v>-5.6</v>
      </c>
      <c r="O15">
        <v>543.29229999999995</v>
      </c>
      <c r="P15">
        <v>-5.6</v>
      </c>
      <c r="Q15">
        <v>543.89229999999998</v>
      </c>
      <c r="R15">
        <v>-5.9</v>
      </c>
      <c r="S15">
        <v>543.89229999999998</v>
      </c>
      <c r="T15">
        <v>-7.8926999999999996</v>
      </c>
      <c r="U15">
        <v>547.87779999999998</v>
      </c>
    </row>
    <row r="16" spans="1:21">
      <c r="A16">
        <v>10</v>
      </c>
      <c r="B16">
        <v>0</v>
      </c>
      <c r="C16">
        <v>543.99980000000005</v>
      </c>
      <c r="D16">
        <v>0</v>
      </c>
      <c r="E16">
        <v>543.99980000000005</v>
      </c>
      <c r="F16">
        <v>3.5</v>
      </c>
      <c r="G16">
        <v>543.9298</v>
      </c>
      <c r="H16">
        <v>4.25</v>
      </c>
      <c r="I16">
        <v>543.91480000000001</v>
      </c>
      <c r="J16">
        <v>5</v>
      </c>
      <c r="K16">
        <v>543.89980000000003</v>
      </c>
      <c r="L16">
        <v>5</v>
      </c>
      <c r="M16">
        <v>543.2998</v>
      </c>
      <c r="N16">
        <v>5.6</v>
      </c>
      <c r="O16">
        <v>543.2998</v>
      </c>
      <c r="P16">
        <v>5.6</v>
      </c>
      <c r="Q16">
        <v>543.89980000000003</v>
      </c>
      <c r="R16">
        <v>5.9</v>
      </c>
      <c r="S16">
        <v>543.89980000000003</v>
      </c>
      <c r="T16">
        <v>6.5353000000000003</v>
      </c>
      <c r="U16">
        <v>545.17039999999997</v>
      </c>
    </row>
    <row r="18" spans="1:21">
      <c r="A18">
        <v>41700</v>
      </c>
    </row>
    <row r="19" spans="1:21">
      <c r="A19">
        <v>10</v>
      </c>
      <c r="B19">
        <v>0</v>
      </c>
      <c r="C19">
        <v>544.03710000000001</v>
      </c>
      <c r="D19">
        <v>0</v>
      </c>
      <c r="E19">
        <v>544.03710000000001</v>
      </c>
      <c r="F19">
        <v>-3.5</v>
      </c>
      <c r="G19">
        <v>543.99090000000001</v>
      </c>
      <c r="H19">
        <v>-4.25</v>
      </c>
      <c r="I19">
        <v>543.98099999999999</v>
      </c>
      <c r="J19">
        <v>-5</v>
      </c>
      <c r="K19">
        <v>543.95849999999996</v>
      </c>
      <c r="L19">
        <v>-5</v>
      </c>
      <c r="M19">
        <v>543.35850000000005</v>
      </c>
      <c r="N19">
        <v>-5.6</v>
      </c>
      <c r="O19">
        <v>543.35850000000005</v>
      </c>
      <c r="P19">
        <v>-5.6</v>
      </c>
      <c r="Q19">
        <v>543.95849999999996</v>
      </c>
      <c r="R19">
        <v>-5.9</v>
      </c>
      <c r="S19">
        <v>543.95849999999996</v>
      </c>
      <c r="T19">
        <v>-7.7584</v>
      </c>
      <c r="U19">
        <v>547.67529999999999</v>
      </c>
    </row>
    <row r="20" spans="1:21">
      <c r="A20">
        <v>10</v>
      </c>
      <c r="B20">
        <v>0</v>
      </c>
      <c r="C20">
        <v>544.03710000000001</v>
      </c>
      <c r="D20">
        <v>0</v>
      </c>
      <c r="E20">
        <v>544.03710000000001</v>
      </c>
      <c r="F20">
        <v>3.597</v>
      </c>
      <c r="G20">
        <v>543.96519999999998</v>
      </c>
      <c r="H20">
        <v>4.3470000000000004</v>
      </c>
      <c r="I20">
        <v>543.9502</v>
      </c>
      <c r="J20">
        <v>5.0970000000000004</v>
      </c>
      <c r="K20">
        <v>543.93520000000001</v>
      </c>
      <c r="L20">
        <v>5.0970000000000004</v>
      </c>
      <c r="M20">
        <v>543.33519999999999</v>
      </c>
      <c r="N20">
        <v>5.6970000000000001</v>
      </c>
      <c r="O20">
        <v>543.33519999999999</v>
      </c>
      <c r="P20">
        <v>5.6970000000000001</v>
      </c>
      <c r="Q20">
        <v>543.93520000000001</v>
      </c>
      <c r="R20">
        <v>5.9969999999999999</v>
      </c>
      <c r="S20">
        <v>543.93520000000001</v>
      </c>
      <c r="T20">
        <v>6.57</v>
      </c>
      <c r="U20">
        <v>545.08109999999999</v>
      </c>
    </row>
    <row r="22" spans="1:21">
      <c r="A22">
        <v>41720</v>
      </c>
    </row>
    <row r="23" spans="1:21">
      <c r="A23">
        <v>10</v>
      </c>
      <c r="B23">
        <v>0</v>
      </c>
      <c r="C23">
        <v>544.25710000000004</v>
      </c>
      <c r="D23">
        <v>0</v>
      </c>
      <c r="E23">
        <v>544.25710000000004</v>
      </c>
      <c r="F23">
        <v>-3.5</v>
      </c>
      <c r="G23">
        <v>544.35090000000002</v>
      </c>
      <c r="H23">
        <v>-4.25</v>
      </c>
      <c r="I23">
        <v>544.37099999999998</v>
      </c>
      <c r="J23">
        <v>-5</v>
      </c>
      <c r="K23">
        <v>544.34849999999994</v>
      </c>
      <c r="L23">
        <v>-5</v>
      </c>
      <c r="M23">
        <v>543.74850000000004</v>
      </c>
      <c r="N23">
        <v>-5.6</v>
      </c>
      <c r="O23">
        <v>543.74850000000004</v>
      </c>
      <c r="P23">
        <v>-5.6</v>
      </c>
      <c r="Q23">
        <v>544.34849999999994</v>
      </c>
      <c r="R23">
        <v>-5.9</v>
      </c>
      <c r="S23">
        <v>544.34849999999994</v>
      </c>
      <c r="T23">
        <v>-6.6116000000000001</v>
      </c>
      <c r="U23">
        <v>545.77170000000001</v>
      </c>
    </row>
    <row r="24" spans="1:21">
      <c r="A24">
        <v>6</v>
      </c>
      <c r="B24">
        <v>0</v>
      </c>
      <c r="C24">
        <v>544.25710000000004</v>
      </c>
      <c r="D24">
        <v>0</v>
      </c>
      <c r="E24">
        <v>544.25710000000004</v>
      </c>
      <c r="F24">
        <v>4.1684999999999999</v>
      </c>
      <c r="G24">
        <v>544.14549999999997</v>
      </c>
      <c r="H24">
        <v>4.9184999999999999</v>
      </c>
      <c r="I24">
        <v>544.12540000000001</v>
      </c>
      <c r="J24">
        <v>5.6684999999999999</v>
      </c>
      <c r="K24">
        <v>544.10530000000006</v>
      </c>
      <c r="L24">
        <v>5.7149999999999999</v>
      </c>
      <c r="M24">
        <v>544.07429999999999</v>
      </c>
    </row>
    <row r="26" spans="1:21">
      <c r="A26">
        <v>41731.603999999999</v>
      </c>
    </row>
    <row r="27" spans="1:21">
      <c r="A27">
        <v>10</v>
      </c>
      <c r="B27">
        <v>0</v>
      </c>
      <c r="C27">
        <v>544.38480000000004</v>
      </c>
      <c r="D27">
        <v>0</v>
      </c>
      <c r="E27">
        <v>544.38480000000004</v>
      </c>
      <c r="F27">
        <v>-3.5</v>
      </c>
      <c r="G27">
        <v>544.5598</v>
      </c>
      <c r="H27">
        <v>-4.25</v>
      </c>
      <c r="I27">
        <v>544.59730000000002</v>
      </c>
      <c r="J27">
        <v>-5</v>
      </c>
      <c r="K27">
        <v>544.57479999999998</v>
      </c>
      <c r="L27">
        <v>-5</v>
      </c>
      <c r="M27">
        <v>543.97479999999996</v>
      </c>
      <c r="N27">
        <v>-5.6</v>
      </c>
      <c r="O27">
        <v>543.97479999999996</v>
      </c>
      <c r="P27">
        <v>-5.6</v>
      </c>
      <c r="Q27">
        <v>544.57479999999998</v>
      </c>
      <c r="R27">
        <v>-5.9</v>
      </c>
      <c r="S27">
        <v>544.57479999999998</v>
      </c>
      <c r="T27">
        <v>-5.9882999999999997</v>
      </c>
      <c r="U27">
        <v>544.75139999999999</v>
      </c>
    </row>
    <row r="28" spans="1:21">
      <c r="A28">
        <v>6</v>
      </c>
      <c r="B28">
        <v>0</v>
      </c>
      <c r="C28">
        <v>544.38480000000004</v>
      </c>
      <c r="D28">
        <v>0</v>
      </c>
      <c r="E28">
        <v>544.38480000000004</v>
      </c>
      <c r="F28">
        <v>4.5</v>
      </c>
      <c r="G28">
        <v>544.15980000000002</v>
      </c>
      <c r="H28">
        <v>5.25</v>
      </c>
      <c r="I28">
        <v>544.1223</v>
      </c>
      <c r="J28">
        <v>6</v>
      </c>
      <c r="K28">
        <v>544.08479999999997</v>
      </c>
      <c r="L28">
        <v>8.0802999999999994</v>
      </c>
      <c r="M28">
        <v>542.6979</v>
      </c>
    </row>
    <row r="30" spans="1:21">
      <c r="A30">
        <v>41740</v>
      </c>
    </row>
    <row r="31" spans="1:21">
      <c r="A31">
        <v>6</v>
      </c>
      <c r="B31">
        <v>0</v>
      </c>
      <c r="C31">
        <v>544.47709999999995</v>
      </c>
      <c r="D31">
        <v>0</v>
      </c>
      <c r="E31">
        <v>544.47709999999995</v>
      </c>
      <c r="F31">
        <v>-3.5</v>
      </c>
      <c r="G31">
        <v>544.65210000000002</v>
      </c>
      <c r="H31">
        <v>-4.25</v>
      </c>
      <c r="I31">
        <v>544.68960000000004</v>
      </c>
      <c r="J31">
        <v>-5</v>
      </c>
      <c r="K31">
        <v>544.6671</v>
      </c>
      <c r="L31">
        <v>-5.3632</v>
      </c>
      <c r="M31">
        <v>544.42499999999995</v>
      </c>
    </row>
    <row r="32" spans="1:21">
      <c r="A32">
        <v>6</v>
      </c>
      <c r="B32">
        <v>0</v>
      </c>
      <c r="C32">
        <v>544.47709999999995</v>
      </c>
      <c r="D32">
        <v>0</v>
      </c>
      <c r="E32">
        <v>544.47709999999995</v>
      </c>
      <c r="F32">
        <v>4.5</v>
      </c>
      <c r="G32">
        <v>544.25210000000004</v>
      </c>
      <c r="H32">
        <v>5.25</v>
      </c>
      <c r="I32">
        <v>544.21460000000002</v>
      </c>
      <c r="J32">
        <v>6</v>
      </c>
      <c r="K32">
        <v>544.1771</v>
      </c>
      <c r="L32">
        <v>9.4591999999999992</v>
      </c>
      <c r="M32">
        <v>541.87099999999998</v>
      </c>
    </row>
    <row r="34" spans="1:13">
      <c r="A34">
        <v>41757.095999999998</v>
      </c>
    </row>
    <row r="35" spans="1:13">
      <c r="A35">
        <v>6</v>
      </c>
      <c r="B35">
        <v>0</v>
      </c>
      <c r="C35">
        <v>544.66520000000003</v>
      </c>
      <c r="D35">
        <v>0</v>
      </c>
      <c r="E35">
        <v>544.66520000000003</v>
      </c>
      <c r="F35">
        <v>-3.5</v>
      </c>
      <c r="G35">
        <v>544.84019999999998</v>
      </c>
      <c r="H35">
        <v>-4.25</v>
      </c>
      <c r="I35">
        <v>544.8777</v>
      </c>
      <c r="J35">
        <v>-5</v>
      </c>
      <c r="K35">
        <v>544.85519999999997</v>
      </c>
      <c r="L35">
        <v>-6.2460000000000004</v>
      </c>
      <c r="M35">
        <v>544.02449999999999</v>
      </c>
    </row>
    <row r="36" spans="1:13">
      <c r="A36">
        <v>6</v>
      </c>
      <c r="B36">
        <v>0</v>
      </c>
      <c r="C36">
        <v>544.66520000000003</v>
      </c>
      <c r="D36">
        <v>0</v>
      </c>
      <c r="E36">
        <v>544.66520000000003</v>
      </c>
      <c r="F36">
        <v>4.5</v>
      </c>
      <c r="G36">
        <v>544.4402</v>
      </c>
      <c r="H36">
        <v>5.25</v>
      </c>
      <c r="I36">
        <v>544.40269999999998</v>
      </c>
      <c r="J36">
        <v>6</v>
      </c>
      <c r="K36">
        <v>544.36519999999996</v>
      </c>
      <c r="L36">
        <v>10.984400000000001</v>
      </c>
      <c r="M36">
        <v>541.04219999999998</v>
      </c>
    </row>
    <row r="38" spans="1:13">
      <c r="A38">
        <v>41760</v>
      </c>
    </row>
    <row r="39" spans="1:13">
      <c r="A39">
        <v>6</v>
      </c>
      <c r="B39">
        <v>0</v>
      </c>
      <c r="C39">
        <v>544.69709999999998</v>
      </c>
      <c r="D39">
        <v>0</v>
      </c>
      <c r="E39">
        <v>544.69709999999998</v>
      </c>
      <c r="F39">
        <v>-3.5</v>
      </c>
      <c r="G39">
        <v>544.87210000000005</v>
      </c>
      <c r="H39">
        <v>-4.25</v>
      </c>
      <c r="I39">
        <v>544.90959999999995</v>
      </c>
      <c r="J39">
        <v>-5</v>
      </c>
      <c r="K39">
        <v>544.88710000000003</v>
      </c>
      <c r="L39">
        <v>-6.1536</v>
      </c>
      <c r="M39">
        <v>544.11810000000003</v>
      </c>
    </row>
    <row r="40" spans="1:13">
      <c r="A40">
        <v>6</v>
      </c>
      <c r="B40">
        <v>0</v>
      </c>
      <c r="C40">
        <v>544.69709999999998</v>
      </c>
      <c r="D40">
        <v>0</v>
      </c>
      <c r="E40">
        <v>544.69709999999998</v>
      </c>
      <c r="F40">
        <v>4.5</v>
      </c>
      <c r="G40">
        <v>544.47209999999995</v>
      </c>
      <c r="H40">
        <v>5.25</v>
      </c>
      <c r="I40">
        <v>544.43460000000005</v>
      </c>
      <c r="J40">
        <v>6</v>
      </c>
      <c r="K40">
        <v>544.39710000000002</v>
      </c>
      <c r="L40">
        <v>10.9086</v>
      </c>
      <c r="M40">
        <v>541.12469999999996</v>
      </c>
    </row>
    <row r="42" spans="1:13">
      <c r="A42">
        <v>41780</v>
      </c>
    </row>
    <row r="43" spans="1:13">
      <c r="A43">
        <v>6</v>
      </c>
      <c r="B43">
        <v>0</v>
      </c>
      <c r="C43">
        <v>544.9171</v>
      </c>
      <c r="D43">
        <v>0</v>
      </c>
      <c r="E43">
        <v>544.9171</v>
      </c>
      <c r="F43">
        <v>-3.5</v>
      </c>
      <c r="G43">
        <v>545.09209999999996</v>
      </c>
      <c r="H43">
        <v>-4.25</v>
      </c>
      <c r="I43">
        <v>545.12959999999998</v>
      </c>
      <c r="J43">
        <v>-5</v>
      </c>
      <c r="K43">
        <v>545.10709999999995</v>
      </c>
      <c r="L43">
        <v>-6.1787000000000001</v>
      </c>
      <c r="M43">
        <v>544.32129999999995</v>
      </c>
    </row>
    <row r="44" spans="1:13">
      <c r="A44">
        <v>6</v>
      </c>
      <c r="B44">
        <v>0</v>
      </c>
      <c r="C44">
        <v>544.9171</v>
      </c>
      <c r="D44">
        <v>0</v>
      </c>
      <c r="E44">
        <v>544.9171</v>
      </c>
      <c r="F44">
        <v>4.5</v>
      </c>
      <c r="G44">
        <v>544.69209999999998</v>
      </c>
      <c r="H44">
        <v>5.25</v>
      </c>
      <c r="I44">
        <v>544.65459999999996</v>
      </c>
      <c r="J44">
        <v>6</v>
      </c>
      <c r="K44">
        <v>544.61710000000005</v>
      </c>
      <c r="L44">
        <v>12.125</v>
      </c>
      <c r="M44">
        <v>540.53380000000004</v>
      </c>
    </row>
    <row r="46" spans="1:13">
      <c r="A46">
        <v>41782.587</v>
      </c>
    </row>
    <row r="47" spans="1:13">
      <c r="A47">
        <v>6</v>
      </c>
      <c r="B47">
        <v>0</v>
      </c>
      <c r="C47">
        <v>544.94560000000001</v>
      </c>
      <c r="D47">
        <v>0</v>
      </c>
      <c r="E47">
        <v>544.94560000000001</v>
      </c>
      <c r="F47">
        <v>-3.5</v>
      </c>
      <c r="G47">
        <v>545.12059999999997</v>
      </c>
      <c r="H47">
        <v>-4.25</v>
      </c>
      <c r="I47">
        <v>545.15809999999999</v>
      </c>
      <c r="J47">
        <v>-5</v>
      </c>
      <c r="K47">
        <v>545.13559999999995</v>
      </c>
      <c r="L47">
        <v>-6.1390000000000002</v>
      </c>
      <c r="M47">
        <v>544.37630000000001</v>
      </c>
    </row>
    <row r="48" spans="1:13">
      <c r="A48">
        <v>6</v>
      </c>
      <c r="B48">
        <v>0</v>
      </c>
      <c r="C48">
        <v>544.94560000000001</v>
      </c>
      <c r="D48">
        <v>0</v>
      </c>
      <c r="E48">
        <v>544.94560000000001</v>
      </c>
      <c r="F48">
        <v>4.5</v>
      </c>
      <c r="G48">
        <v>544.72059999999999</v>
      </c>
      <c r="H48">
        <v>5.25</v>
      </c>
      <c r="I48">
        <v>544.68309999999997</v>
      </c>
      <c r="J48">
        <v>6</v>
      </c>
      <c r="K48">
        <v>544.64559999999994</v>
      </c>
      <c r="L48">
        <v>12.224</v>
      </c>
      <c r="M48">
        <v>540.49630000000002</v>
      </c>
    </row>
    <row r="50" spans="1:13">
      <c r="A50">
        <v>41800</v>
      </c>
    </row>
    <row r="51" spans="1:13">
      <c r="A51">
        <v>6</v>
      </c>
      <c r="B51">
        <v>0</v>
      </c>
      <c r="C51">
        <v>545.13710000000003</v>
      </c>
      <c r="D51">
        <v>0</v>
      </c>
      <c r="E51">
        <v>545.13710000000003</v>
      </c>
      <c r="F51">
        <v>-3.5</v>
      </c>
      <c r="G51">
        <v>545.2251</v>
      </c>
      <c r="H51">
        <v>-4.25</v>
      </c>
      <c r="I51">
        <v>545.24390000000005</v>
      </c>
      <c r="J51">
        <v>-5</v>
      </c>
      <c r="K51">
        <v>545.22140000000002</v>
      </c>
      <c r="L51">
        <v>-5.8472999999999997</v>
      </c>
      <c r="M51">
        <v>544.65650000000005</v>
      </c>
    </row>
    <row r="52" spans="1:13">
      <c r="A52">
        <v>6</v>
      </c>
      <c r="B52">
        <v>0</v>
      </c>
      <c r="C52">
        <v>545.13710000000003</v>
      </c>
      <c r="D52">
        <v>0</v>
      </c>
      <c r="E52">
        <v>545.13710000000003</v>
      </c>
      <c r="F52">
        <v>4.0025000000000004</v>
      </c>
      <c r="G52">
        <v>545.03660000000002</v>
      </c>
      <c r="H52">
        <v>4.7525000000000004</v>
      </c>
      <c r="I52">
        <v>545.01769999999999</v>
      </c>
      <c r="J52">
        <v>5.5025000000000004</v>
      </c>
      <c r="K52">
        <v>544.99519999999995</v>
      </c>
      <c r="L52">
        <v>12.1561</v>
      </c>
      <c r="M52">
        <v>540.55949999999996</v>
      </c>
    </row>
    <row r="54" spans="1:13">
      <c r="A54">
        <v>41817.587</v>
      </c>
    </row>
    <row r="55" spans="1:13">
      <c r="A55">
        <v>6</v>
      </c>
      <c r="B55">
        <v>0</v>
      </c>
      <c r="C55">
        <v>545.3306</v>
      </c>
      <c r="D55">
        <v>0</v>
      </c>
      <c r="E55">
        <v>545.3306</v>
      </c>
      <c r="F55">
        <v>-3.5</v>
      </c>
      <c r="G55">
        <v>545.3306</v>
      </c>
      <c r="H55">
        <v>-4.25</v>
      </c>
      <c r="I55">
        <v>545.3306</v>
      </c>
      <c r="J55">
        <v>-5</v>
      </c>
      <c r="K55">
        <v>545.30809999999997</v>
      </c>
      <c r="L55">
        <v>-5.2930000000000001</v>
      </c>
      <c r="M55">
        <v>545.11279999999999</v>
      </c>
    </row>
    <row r="56" spans="1:13">
      <c r="A56">
        <v>6</v>
      </c>
      <c r="B56">
        <v>0</v>
      </c>
      <c r="C56">
        <v>545.3306</v>
      </c>
      <c r="D56">
        <v>0</v>
      </c>
      <c r="E56">
        <v>545.3306</v>
      </c>
      <c r="F56">
        <v>3.5</v>
      </c>
      <c r="G56">
        <v>545.3306</v>
      </c>
      <c r="H56">
        <v>4.25</v>
      </c>
      <c r="I56">
        <v>545.3306</v>
      </c>
      <c r="J56">
        <v>5</v>
      </c>
      <c r="K56">
        <v>545.30809999999997</v>
      </c>
      <c r="L56">
        <v>10.744300000000001</v>
      </c>
      <c r="M56">
        <v>541.47860000000003</v>
      </c>
    </row>
    <row r="58" spans="1:13">
      <c r="A58">
        <v>41820</v>
      </c>
    </row>
    <row r="59" spans="1:13">
      <c r="A59">
        <v>6</v>
      </c>
      <c r="B59">
        <v>0</v>
      </c>
      <c r="C59">
        <v>545.35709999999995</v>
      </c>
      <c r="D59">
        <v>0</v>
      </c>
      <c r="E59">
        <v>545.35709999999995</v>
      </c>
      <c r="F59">
        <v>-3.5552000000000001</v>
      </c>
      <c r="G59">
        <v>545.34490000000005</v>
      </c>
      <c r="H59">
        <v>-4.3052000000000001</v>
      </c>
      <c r="I59">
        <v>545.34230000000002</v>
      </c>
      <c r="J59">
        <v>-5.0552000000000001</v>
      </c>
      <c r="K59">
        <v>545.31979999999999</v>
      </c>
      <c r="L59">
        <v>-5.3547000000000002</v>
      </c>
      <c r="M59">
        <v>545.12009999999998</v>
      </c>
    </row>
    <row r="60" spans="1:13">
      <c r="A60">
        <v>6</v>
      </c>
      <c r="B60">
        <v>0</v>
      </c>
      <c r="C60">
        <v>545.35709999999995</v>
      </c>
      <c r="D60">
        <v>0</v>
      </c>
      <c r="E60">
        <v>545.35709999999995</v>
      </c>
      <c r="F60">
        <v>3.5</v>
      </c>
      <c r="G60">
        <v>545.36919999999998</v>
      </c>
      <c r="H60">
        <v>4.25</v>
      </c>
      <c r="I60">
        <v>545.37180000000001</v>
      </c>
      <c r="J60">
        <v>5</v>
      </c>
      <c r="K60">
        <v>545.34929999999997</v>
      </c>
      <c r="L60">
        <v>10.2593</v>
      </c>
      <c r="M60">
        <v>541.84310000000005</v>
      </c>
    </row>
    <row r="62" spans="1:13">
      <c r="A62">
        <v>41840</v>
      </c>
    </row>
    <row r="63" spans="1:13">
      <c r="A63">
        <v>6</v>
      </c>
      <c r="B63">
        <v>0</v>
      </c>
      <c r="C63">
        <v>545.54570000000001</v>
      </c>
      <c r="D63">
        <v>0</v>
      </c>
      <c r="E63">
        <v>545.54570000000001</v>
      </c>
      <c r="F63">
        <v>-4.0122999999999998</v>
      </c>
      <c r="G63">
        <v>545.41729999999995</v>
      </c>
      <c r="H63">
        <v>-4.7622999999999998</v>
      </c>
      <c r="I63">
        <v>545.39319999999998</v>
      </c>
      <c r="J63">
        <v>-5.5122999999999998</v>
      </c>
      <c r="K63">
        <v>545.36919999999998</v>
      </c>
      <c r="L63">
        <v>-5.5266999999999999</v>
      </c>
      <c r="M63">
        <v>545.3596</v>
      </c>
    </row>
    <row r="64" spans="1:13">
      <c r="A64">
        <v>6</v>
      </c>
      <c r="B64">
        <v>0</v>
      </c>
      <c r="C64">
        <v>545.54570000000001</v>
      </c>
      <c r="D64">
        <v>0</v>
      </c>
      <c r="E64">
        <v>545.54570000000001</v>
      </c>
      <c r="F64">
        <v>3.5</v>
      </c>
      <c r="G64">
        <v>545.65779999999995</v>
      </c>
      <c r="H64">
        <v>4.25</v>
      </c>
      <c r="I64">
        <v>545.68179999999995</v>
      </c>
      <c r="J64">
        <v>5</v>
      </c>
      <c r="K64">
        <v>545.65930000000003</v>
      </c>
      <c r="L64">
        <v>7.6029999999999998</v>
      </c>
      <c r="M64">
        <v>543.92399999999998</v>
      </c>
    </row>
    <row r="66" spans="1:21">
      <c r="A66">
        <v>41852.587</v>
      </c>
    </row>
    <row r="67" spans="1:21">
      <c r="A67">
        <v>10</v>
      </c>
      <c r="B67">
        <v>0</v>
      </c>
      <c r="C67">
        <v>545.60199999999998</v>
      </c>
      <c r="D67">
        <v>0</v>
      </c>
      <c r="E67">
        <v>545.60199999999998</v>
      </c>
      <c r="F67">
        <v>-4.3</v>
      </c>
      <c r="G67">
        <v>545.38699999999994</v>
      </c>
      <c r="H67">
        <v>-5.05</v>
      </c>
      <c r="I67">
        <v>545.34950000000003</v>
      </c>
      <c r="J67">
        <v>-5.8</v>
      </c>
      <c r="K67">
        <v>545.31200000000001</v>
      </c>
      <c r="L67">
        <v>-5.8</v>
      </c>
      <c r="M67">
        <v>544.71199999999999</v>
      </c>
      <c r="N67">
        <v>-6.4</v>
      </c>
      <c r="O67">
        <v>544.71199999999999</v>
      </c>
      <c r="P67">
        <v>-6.4</v>
      </c>
      <c r="Q67">
        <v>545.31200000000001</v>
      </c>
      <c r="R67">
        <v>-6.7</v>
      </c>
      <c r="S67">
        <v>545.31200000000001</v>
      </c>
      <c r="T67">
        <v>-7.3122999999999996</v>
      </c>
      <c r="U67">
        <v>546.53650000000005</v>
      </c>
    </row>
    <row r="68" spans="1:21">
      <c r="A68">
        <v>10</v>
      </c>
      <c r="B68">
        <v>0</v>
      </c>
      <c r="C68">
        <v>545.60199999999998</v>
      </c>
      <c r="D68">
        <v>0</v>
      </c>
      <c r="E68">
        <v>545.60199999999998</v>
      </c>
      <c r="F68">
        <v>3.5</v>
      </c>
      <c r="G68">
        <v>545.77700000000004</v>
      </c>
      <c r="H68">
        <v>4.25</v>
      </c>
      <c r="I68">
        <v>545.81449999999995</v>
      </c>
      <c r="J68">
        <v>5</v>
      </c>
      <c r="K68">
        <v>545.79200000000003</v>
      </c>
      <c r="L68">
        <v>5</v>
      </c>
      <c r="M68">
        <v>545.19200000000001</v>
      </c>
      <c r="N68">
        <v>5.6</v>
      </c>
      <c r="O68">
        <v>545.19200000000001</v>
      </c>
      <c r="P68">
        <v>5.6</v>
      </c>
      <c r="Q68">
        <v>545.79200000000003</v>
      </c>
      <c r="R68">
        <v>5.9</v>
      </c>
      <c r="S68">
        <v>545.79200000000003</v>
      </c>
      <c r="T68">
        <v>6.1303999999999998</v>
      </c>
      <c r="U68">
        <v>546.2527</v>
      </c>
    </row>
    <row r="70" spans="1:21">
      <c r="A70">
        <v>41860</v>
      </c>
    </row>
    <row r="71" spans="1:21">
      <c r="A71">
        <v>10</v>
      </c>
      <c r="B71">
        <v>0</v>
      </c>
      <c r="C71">
        <v>545.61120000000005</v>
      </c>
      <c r="D71">
        <v>0</v>
      </c>
      <c r="E71">
        <v>545.61120000000005</v>
      </c>
      <c r="F71">
        <v>-4.3</v>
      </c>
      <c r="G71">
        <v>545.39620000000002</v>
      </c>
      <c r="H71">
        <v>-5.05</v>
      </c>
      <c r="I71">
        <v>545.3587</v>
      </c>
      <c r="J71">
        <v>-5.8</v>
      </c>
      <c r="K71">
        <v>545.32119999999998</v>
      </c>
      <c r="L71">
        <v>-5.8</v>
      </c>
      <c r="M71">
        <v>544.72119999999995</v>
      </c>
      <c r="N71">
        <v>-6.4</v>
      </c>
      <c r="O71">
        <v>544.72119999999995</v>
      </c>
      <c r="P71">
        <v>-6.4</v>
      </c>
      <c r="Q71">
        <v>545.32119999999998</v>
      </c>
      <c r="R71">
        <v>-6.7</v>
      </c>
      <c r="S71">
        <v>545.32119999999998</v>
      </c>
      <c r="T71">
        <v>-7.9518000000000004</v>
      </c>
      <c r="U71">
        <v>547.82489999999996</v>
      </c>
    </row>
    <row r="72" spans="1:21">
      <c r="A72">
        <v>10</v>
      </c>
      <c r="B72">
        <v>0</v>
      </c>
      <c r="C72">
        <v>545.61120000000005</v>
      </c>
      <c r="D72">
        <v>0</v>
      </c>
      <c r="E72">
        <v>545.61120000000005</v>
      </c>
      <c r="F72">
        <v>3.5</v>
      </c>
      <c r="G72">
        <v>545.78620000000001</v>
      </c>
      <c r="H72">
        <v>4.25</v>
      </c>
      <c r="I72">
        <v>545.82370000000003</v>
      </c>
      <c r="J72">
        <v>5</v>
      </c>
      <c r="K72">
        <v>545.80119999999999</v>
      </c>
      <c r="L72">
        <v>5</v>
      </c>
      <c r="M72">
        <v>545.20119999999997</v>
      </c>
      <c r="N72">
        <v>5.6</v>
      </c>
      <c r="O72">
        <v>545.20119999999997</v>
      </c>
      <c r="P72">
        <v>5.6</v>
      </c>
      <c r="Q72">
        <v>545.80119999999999</v>
      </c>
      <c r="R72">
        <v>5.9</v>
      </c>
      <c r="S72">
        <v>545.80119999999999</v>
      </c>
      <c r="T72">
        <v>6.8007</v>
      </c>
      <c r="U72">
        <v>547.60260000000005</v>
      </c>
    </row>
    <row r="74" spans="1:21">
      <c r="A74">
        <v>41880</v>
      </c>
    </row>
    <row r="75" spans="1:21">
      <c r="A75">
        <v>10</v>
      </c>
      <c r="B75">
        <v>0</v>
      </c>
      <c r="C75">
        <v>545.54759999999999</v>
      </c>
      <c r="D75">
        <v>0</v>
      </c>
      <c r="E75">
        <v>545.54759999999999</v>
      </c>
      <c r="F75">
        <v>-4.3</v>
      </c>
      <c r="G75">
        <v>545.33259999999996</v>
      </c>
      <c r="H75">
        <v>-5.05</v>
      </c>
      <c r="I75">
        <v>545.29510000000005</v>
      </c>
      <c r="J75">
        <v>-5.8</v>
      </c>
      <c r="K75">
        <v>545.25760000000002</v>
      </c>
      <c r="L75">
        <v>-5.8</v>
      </c>
      <c r="M75">
        <v>544.6576</v>
      </c>
      <c r="N75">
        <v>-6.4</v>
      </c>
      <c r="O75">
        <v>544.6576</v>
      </c>
      <c r="P75">
        <v>-6.4</v>
      </c>
      <c r="Q75">
        <v>545.25760000000002</v>
      </c>
      <c r="R75">
        <v>-6.7</v>
      </c>
      <c r="S75">
        <v>545.25760000000002</v>
      </c>
      <c r="T75">
        <v>-9.0711999999999993</v>
      </c>
      <c r="U75">
        <v>550</v>
      </c>
    </row>
    <row r="76" spans="1:21">
      <c r="A76">
        <v>10</v>
      </c>
      <c r="B76">
        <v>0</v>
      </c>
      <c r="C76">
        <v>545.54759999999999</v>
      </c>
      <c r="D76">
        <v>0</v>
      </c>
      <c r="E76">
        <v>545.54759999999999</v>
      </c>
      <c r="F76">
        <v>3.5</v>
      </c>
      <c r="G76">
        <v>545.72260000000006</v>
      </c>
      <c r="H76">
        <v>4.25</v>
      </c>
      <c r="I76">
        <v>545.76009999999997</v>
      </c>
      <c r="J76">
        <v>5</v>
      </c>
      <c r="K76">
        <v>545.73760000000004</v>
      </c>
      <c r="L76">
        <v>5</v>
      </c>
      <c r="M76">
        <v>545.13760000000002</v>
      </c>
      <c r="N76">
        <v>5.6</v>
      </c>
      <c r="O76">
        <v>545.13760000000002</v>
      </c>
      <c r="P76">
        <v>5.6</v>
      </c>
      <c r="Q76">
        <v>545.73760000000004</v>
      </c>
      <c r="R76">
        <v>5.9</v>
      </c>
      <c r="S76">
        <v>545.73760000000004</v>
      </c>
      <c r="T76">
        <v>8.0312000000000001</v>
      </c>
      <c r="U76">
        <v>550</v>
      </c>
    </row>
    <row r="78" spans="1:21">
      <c r="A78">
        <v>41900</v>
      </c>
    </row>
    <row r="79" spans="1:21">
      <c r="A79">
        <v>10</v>
      </c>
      <c r="B79">
        <v>0</v>
      </c>
      <c r="C79">
        <v>545.35500000000002</v>
      </c>
      <c r="D79">
        <v>0</v>
      </c>
      <c r="E79">
        <v>545.35500000000002</v>
      </c>
      <c r="F79">
        <v>-4.3</v>
      </c>
      <c r="G79">
        <v>545.14</v>
      </c>
      <c r="H79">
        <v>-5.05</v>
      </c>
      <c r="I79">
        <v>545.10249999999996</v>
      </c>
      <c r="J79">
        <v>-5.8</v>
      </c>
      <c r="K79">
        <v>545.06500000000005</v>
      </c>
      <c r="L79">
        <v>-5.8</v>
      </c>
      <c r="M79">
        <v>544.46500000000003</v>
      </c>
      <c r="N79">
        <v>-6.4</v>
      </c>
      <c r="O79">
        <v>544.46500000000003</v>
      </c>
      <c r="P79">
        <v>-6.4</v>
      </c>
      <c r="Q79">
        <v>545.06500000000005</v>
      </c>
      <c r="R79">
        <v>-6.7</v>
      </c>
      <c r="S79">
        <v>545.06500000000005</v>
      </c>
      <c r="T79">
        <v>-9.1675000000000004</v>
      </c>
      <c r="U79">
        <v>550</v>
      </c>
    </row>
    <row r="80" spans="1:21">
      <c r="A80">
        <v>10</v>
      </c>
      <c r="B80">
        <v>0</v>
      </c>
      <c r="C80">
        <v>545.35500000000002</v>
      </c>
      <c r="D80">
        <v>0</v>
      </c>
      <c r="E80">
        <v>545.35500000000002</v>
      </c>
      <c r="F80">
        <v>3.5</v>
      </c>
      <c r="G80">
        <v>545.53</v>
      </c>
      <c r="H80">
        <v>4.25</v>
      </c>
      <c r="I80">
        <v>545.5675</v>
      </c>
      <c r="J80">
        <v>5</v>
      </c>
      <c r="K80">
        <v>545.54499999999996</v>
      </c>
      <c r="L80">
        <v>5</v>
      </c>
      <c r="M80">
        <v>544.94500000000005</v>
      </c>
      <c r="N80">
        <v>5.6</v>
      </c>
      <c r="O80">
        <v>544.94500000000005</v>
      </c>
      <c r="P80">
        <v>5.6</v>
      </c>
      <c r="Q80">
        <v>545.54499999999996</v>
      </c>
      <c r="R80">
        <v>5.9</v>
      </c>
      <c r="S80">
        <v>545.54499999999996</v>
      </c>
      <c r="T80">
        <v>8.1274999999999995</v>
      </c>
      <c r="U80">
        <v>550</v>
      </c>
    </row>
    <row r="82" spans="1:21">
      <c r="A82">
        <v>41920</v>
      </c>
    </row>
    <row r="83" spans="1:21">
      <c r="A83">
        <v>10</v>
      </c>
      <c r="B83">
        <v>0</v>
      </c>
      <c r="C83">
        <v>545.03330000000005</v>
      </c>
      <c r="D83">
        <v>0</v>
      </c>
      <c r="E83">
        <v>545.03330000000005</v>
      </c>
      <c r="F83">
        <v>-4.3</v>
      </c>
      <c r="G83">
        <v>544.81830000000002</v>
      </c>
      <c r="H83">
        <v>-5.05</v>
      </c>
      <c r="I83">
        <v>544.7808</v>
      </c>
      <c r="J83">
        <v>-5.8</v>
      </c>
      <c r="K83">
        <v>544.74329999999998</v>
      </c>
      <c r="L83">
        <v>-5.8</v>
      </c>
      <c r="M83">
        <v>544.14329999999995</v>
      </c>
      <c r="N83">
        <v>-6.4</v>
      </c>
      <c r="O83">
        <v>544.14329999999995</v>
      </c>
      <c r="P83">
        <v>-6.4</v>
      </c>
      <c r="Q83">
        <v>544.74329999999998</v>
      </c>
      <c r="R83">
        <v>-6.7</v>
      </c>
      <c r="S83">
        <v>544.74329999999998</v>
      </c>
      <c r="T83">
        <v>-9.3283000000000005</v>
      </c>
      <c r="U83">
        <v>550</v>
      </c>
    </row>
    <row r="84" spans="1:21">
      <c r="A84">
        <v>10</v>
      </c>
      <c r="B84">
        <v>0</v>
      </c>
      <c r="C84">
        <v>545.03330000000005</v>
      </c>
      <c r="D84">
        <v>0</v>
      </c>
      <c r="E84">
        <v>545.03330000000005</v>
      </c>
      <c r="F84">
        <v>3.5</v>
      </c>
      <c r="G84">
        <v>545.20830000000001</v>
      </c>
      <c r="H84">
        <v>4.25</v>
      </c>
      <c r="I84">
        <v>545.24580000000003</v>
      </c>
      <c r="J84">
        <v>5</v>
      </c>
      <c r="K84">
        <v>545.22329999999999</v>
      </c>
      <c r="L84">
        <v>5</v>
      </c>
      <c r="M84">
        <v>544.62329999999997</v>
      </c>
      <c r="N84">
        <v>5.6</v>
      </c>
      <c r="O84">
        <v>544.62329999999997</v>
      </c>
      <c r="P84">
        <v>5.6</v>
      </c>
      <c r="Q84">
        <v>545.22329999999999</v>
      </c>
      <c r="R84">
        <v>5.9</v>
      </c>
      <c r="S84">
        <v>545.22329999999999</v>
      </c>
      <c r="T84">
        <v>8.2882999999999996</v>
      </c>
      <c r="U84">
        <v>550</v>
      </c>
    </row>
    <row r="86" spans="1:21">
      <c r="A86">
        <v>41930.243000000002</v>
      </c>
    </row>
    <row r="87" spans="1:21">
      <c r="A87">
        <v>10</v>
      </c>
      <c r="B87">
        <v>0</v>
      </c>
      <c r="C87">
        <v>544.81859999999995</v>
      </c>
      <c r="D87">
        <v>0</v>
      </c>
      <c r="E87">
        <v>544.81859999999995</v>
      </c>
      <c r="F87">
        <v>-4.3</v>
      </c>
      <c r="G87">
        <v>544.60360000000003</v>
      </c>
      <c r="H87">
        <v>-5.05</v>
      </c>
      <c r="I87">
        <v>544.56610000000001</v>
      </c>
      <c r="J87">
        <v>-5.8</v>
      </c>
      <c r="K87">
        <v>544.52859999999998</v>
      </c>
      <c r="L87">
        <v>-5.8</v>
      </c>
      <c r="M87">
        <v>543.92859999999996</v>
      </c>
      <c r="N87">
        <v>-6.4</v>
      </c>
      <c r="O87">
        <v>543.92859999999996</v>
      </c>
      <c r="P87">
        <v>-6.4</v>
      </c>
      <c r="Q87">
        <v>544.52859999999998</v>
      </c>
      <c r="R87">
        <v>-6.7</v>
      </c>
      <c r="S87">
        <v>544.52859999999998</v>
      </c>
      <c r="T87">
        <v>-9.4357000000000006</v>
      </c>
      <c r="U87">
        <v>550</v>
      </c>
    </row>
    <row r="88" spans="1:21">
      <c r="A88">
        <v>10</v>
      </c>
      <c r="B88">
        <v>0</v>
      </c>
      <c r="C88">
        <v>544.81859999999995</v>
      </c>
      <c r="D88">
        <v>0</v>
      </c>
      <c r="E88">
        <v>544.81859999999995</v>
      </c>
      <c r="F88">
        <v>3.5</v>
      </c>
      <c r="G88">
        <v>544.99360000000001</v>
      </c>
      <c r="H88">
        <v>4.25</v>
      </c>
      <c r="I88">
        <v>545.03110000000004</v>
      </c>
      <c r="J88">
        <v>5</v>
      </c>
      <c r="K88">
        <v>545.0086</v>
      </c>
      <c r="L88">
        <v>5</v>
      </c>
      <c r="M88">
        <v>544.40859999999998</v>
      </c>
      <c r="N88">
        <v>5.6</v>
      </c>
      <c r="O88">
        <v>544.40859999999998</v>
      </c>
      <c r="P88">
        <v>5.6</v>
      </c>
      <c r="Q88">
        <v>545.0086</v>
      </c>
      <c r="R88">
        <v>5.9</v>
      </c>
      <c r="S88">
        <v>545.0086</v>
      </c>
      <c r="T88">
        <v>8.3956999999999997</v>
      </c>
      <c r="U88">
        <v>550</v>
      </c>
    </row>
    <row r="90" spans="1:21">
      <c r="A90">
        <v>41940</v>
      </c>
    </row>
    <row r="91" spans="1:21">
      <c r="A91">
        <v>10</v>
      </c>
      <c r="B91">
        <v>0</v>
      </c>
      <c r="C91">
        <v>544.58270000000005</v>
      </c>
      <c r="D91">
        <v>0</v>
      </c>
      <c r="E91">
        <v>544.58270000000005</v>
      </c>
      <c r="F91">
        <v>-4.3</v>
      </c>
      <c r="G91">
        <v>544.36770000000001</v>
      </c>
      <c r="H91">
        <v>-5.05</v>
      </c>
      <c r="I91">
        <v>544.33019999999999</v>
      </c>
      <c r="J91">
        <v>-5.8</v>
      </c>
      <c r="K91">
        <v>544.29269999999997</v>
      </c>
      <c r="L91">
        <v>-5.8</v>
      </c>
      <c r="M91">
        <v>543.69269999999995</v>
      </c>
      <c r="N91">
        <v>-6.4</v>
      </c>
      <c r="O91">
        <v>543.69269999999995</v>
      </c>
      <c r="P91">
        <v>-6.4</v>
      </c>
      <c r="Q91">
        <v>544.29269999999997</v>
      </c>
      <c r="R91">
        <v>-6.7</v>
      </c>
      <c r="S91">
        <v>544.29269999999997</v>
      </c>
      <c r="T91">
        <v>-9.5536999999999992</v>
      </c>
      <c r="U91">
        <v>550</v>
      </c>
    </row>
    <row r="92" spans="1:21">
      <c r="A92">
        <v>10</v>
      </c>
      <c r="B92">
        <v>0</v>
      </c>
      <c r="C92">
        <v>544.58270000000005</v>
      </c>
      <c r="D92">
        <v>0</v>
      </c>
      <c r="E92">
        <v>544.58270000000005</v>
      </c>
      <c r="F92">
        <v>3.5</v>
      </c>
      <c r="G92">
        <v>544.7577</v>
      </c>
      <c r="H92">
        <v>4.25</v>
      </c>
      <c r="I92">
        <v>544.79520000000002</v>
      </c>
      <c r="J92">
        <v>5</v>
      </c>
      <c r="K92">
        <v>544.77269999999999</v>
      </c>
      <c r="L92">
        <v>5</v>
      </c>
      <c r="M92">
        <v>544.17269999999996</v>
      </c>
      <c r="N92">
        <v>5.6</v>
      </c>
      <c r="O92">
        <v>544.17269999999996</v>
      </c>
      <c r="P92">
        <v>5.6</v>
      </c>
      <c r="Q92">
        <v>544.77269999999999</v>
      </c>
      <c r="R92">
        <v>5.9</v>
      </c>
      <c r="S92">
        <v>544.77269999999999</v>
      </c>
      <c r="T92">
        <v>8.5137</v>
      </c>
      <c r="U92">
        <v>550</v>
      </c>
    </row>
    <row r="94" spans="1:21">
      <c r="A94">
        <v>41960</v>
      </c>
    </row>
    <row r="95" spans="1:21">
      <c r="A95">
        <v>10</v>
      </c>
      <c r="B95">
        <v>0</v>
      </c>
      <c r="C95">
        <v>544.01049999999998</v>
      </c>
      <c r="D95">
        <v>0</v>
      </c>
      <c r="E95">
        <v>544.01049999999998</v>
      </c>
      <c r="F95">
        <v>-4.3</v>
      </c>
      <c r="G95">
        <v>543.79549999999995</v>
      </c>
      <c r="H95">
        <v>-5.05</v>
      </c>
      <c r="I95">
        <v>543.75800000000004</v>
      </c>
      <c r="J95">
        <v>-5.8</v>
      </c>
      <c r="K95">
        <v>543.72050000000002</v>
      </c>
      <c r="L95">
        <v>-5.8</v>
      </c>
      <c r="M95">
        <v>543.12049999999999</v>
      </c>
      <c r="N95">
        <v>-6.4</v>
      </c>
      <c r="O95">
        <v>543.12049999999999</v>
      </c>
      <c r="P95">
        <v>-6.4</v>
      </c>
      <c r="Q95">
        <v>543.72050000000002</v>
      </c>
      <c r="R95">
        <v>-6.7</v>
      </c>
      <c r="S95">
        <v>543.72050000000002</v>
      </c>
      <c r="T95">
        <v>-9.8397000000000006</v>
      </c>
      <c r="U95">
        <v>550</v>
      </c>
    </row>
    <row r="96" spans="1:21">
      <c r="A96">
        <v>10</v>
      </c>
      <c r="B96">
        <v>0</v>
      </c>
      <c r="C96">
        <v>544.01049999999998</v>
      </c>
      <c r="D96">
        <v>0</v>
      </c>
      <c r="E96">
        <v>544.01049999999998</v>
      </c>
      <c r="F96">
        <v>3.5</v>
      </c>
      <c r="G96">
        <v>544.18550000000005</v>
      </c>
      <c r="H96">
        <v>4.25</v>
      </c>
      <c r="I96">
        <v>544.22299999999996</v>
      </c>
      <c r="J96">
        <v>5</v>
      </c>
      <c r="K96">
        <v>544.20050000000003</v>
      </c>
      <c r="L96">
        <v>5</v>
      </c>
      <c r="M96">
        <v>543.60050000000001</v>
      </c>
      <c r="N96">
        <v>5.6</v>
      </c>
      <c r="O96">
        <v>543.60050000000001</v>
      </c>
      <c r="P96">
        <v>5.6</v>
      </c>
      <c r="Q96">
        <v>544.20050000000003</v>
      </c>
      <c r="R96">
        <v>5.9</v>
      </c>
      <c r="S96">
        <v>544.20050000000003</v>
      </c>
      <c r="T96">
        <v>8.7996999999999996</v>
      </c>
      <c r="U96">
        <v>550</v>
      </c>
    </row>
    <row r="98" spans="1:21">
      <c r="A98">
        <v>41980</v>
      </c>
    </row>
    <row r="99" spans="1:21">
      <c r="A99">
        <v>10</v>
      </c>
      <c r="B99">
        <v>0</v>
      </c>
      <c r="C99">
        <v>543.41049999999996</v>
      </c>
      <c r="D99">
        <v>0</v>
      </c>
      <c r="E99">
        <v>543.41049999999996</v>
      </c>
      <c r="F99">
        <v>-4.3</v>
      </c>
      <c r="G99">
        <v>543.19550000000004</v>
      </c>
      <c r="H99">
        <v>-5.05</v>
      </c>
      <c r="I99">
        <v>543.15800000000002</v>
      </c>
      <c r="J99">
        <v>-5.8</v>
      </c>
      <c r="K99">
        <v>543.12049999999999</v>
      </c>
      <c r="L99">
        <v>-5.8</v>
      </c>
      <c r="M99">
        <v>542.52049999999997</v>
      </c>
      <c r="N99">
        <v>-6.4</v>
      </c>
      <c r="O99">
        <v>542.52049999999997</v>
      </c>
      <c r="P99">
        <v>-6.4</v>
      </c>
      <c r="Q99">
        <v>543.12049999999999</v>
      </c>
      <c r="R99">
        <v>-6.7</v>
      </c>
      <c r="S99">
        <v>543.12049999999999</v>
      </c>
      <c r="T99">
        <v>-9.1858000000000004</v>
      </c>
      <c r="U99">
        <v>548.09220000000005</v>
      </c>
    </row>
    <row r="100" spans="1:21">
      <c r="A100">
        <v>10</v>
      </c>
      <c r="B100">
        <v>0</v>
      </c>
      <c r="C100">
        <v>543.41049999999996</v>
      </c>
      <c r="D100">
        <v>0</v>
      </c>
      <c r="E100">
        <v>543.41049999999996</v>
      </c>
      <c r="F100">
        <v>3.5</v>
      </c>
      <c r="G100">
        <v>543.58550000000002</v>
      </c>
      <c r="H100">
        <v>4.25</v>
      </c>
      <c r="I100">
        <v>543.62300000000005</v>
      </c>
      <c r="J100">
        <v>5</v>
      </c>
      <c r="K100">
        <v>543.60050000000001</v>
      </c>
      <c r="L100">
        <v>5</v>
      </c>
      <c r="M100">
        <v>543.00049999999999</v>
      </c>
      <c r="N100">
        <v>5.6</v>
      </c>
      <c r="O100">
        <v>543.00049999999999</v>
      </c>
      <c r="P100">
        <v>5.6</v>
      </c>
      <c r="Q100">
        <v>543.60050000000001</v>
      </c>
      <c r="R100">
        <v>5.9</v>
      </c>
      <c r="S100">
        <v>543.60050000000001</v>
      </c>
      <c r="T100">
        <v>9.0998000000000001</v>
      </c>
      <c r="U100">
        <v>550</v>
      </c>
    </row>
    <row r="102" spans="1:21">
      <c r="A102">
        <v>42000</v>
      </c>
    </row>
    <row r="103" spans="1:21">
      <c r="A103">
        <v>6</v>
      </c>
      <c r="B103">
        <v>0</v>
      </c>
      <c r="C103">
        <v>542.81050000000005</v>
      </c>
      <c r="D103">
        <v>0</v>
      </c>
      <c r="E103">
        <v>542.81050000000005</v>
      </c>
      <c r="F103">
        <v>-4.3</v>
      </c>
      <c r="G103">
        <v>542.59550000000002</v>
      </c>
      <c r="H103">
        <v>-5.05</v>
      </c>
      <c r="I103">
        <v>542.55799999999999</v>
      </c>
      <c r="J103">
        <v>-5.8</v>
      </c>
      <c r="K103">
        <v>542.52049999999997</v>
      </c>
      <c r="L103">
        <v>-6.5179</v>
      </c>
      <c r="M103">
        <v>542.04190000000006</v>
      </c>
    </row>
    <row r="104" spans="1:21">
      <c r="A104">
        <v>10</v>
      </c>
      <c r="B104">
        <v>0</v>
      </c>
      <c r="C104">
        <v>542.81050000000005</v>
      </c>
      <c r="D104">
        <v>0</v>
      </c>
      <c r="E104">
        <v>542.81050000000005</v>
      </c>
      <c r="F104">
        <v>3.5</v>
      </c>
      <c r="G104">
        <v>542.9855</v>
      </c>
      <c r="H104">
        <v>4.25</v>
      </c>
      <c r="I104">
        <v>543.02300000000002</v>
      </c>
      <c r="J104">
        <v>5</v>
      </c>
      <c r="K104">
        <v>543.00049999999999</v>
      </c>
      <c r="L104">
        <v>5</v>
      </c>
      <c r="M104">
        <v>542.40049999999997</v>
      </c>
      <c r="N104">
        <v>5.6</v>
      </c>
      <c r="O104">
        <v>542.40049999999997</v>
      </c>
      <c r="P104">
        <v>5.6</v>
      </c>
      <c r="Q104">
        <v>543.00049999999999</v>
      </c>
      <c r="R104">
        <v>5.9</v>
      </c>
      <c r="S104">
        <v>543.00049999999999</v>
      </c>
      <c r="T104">
        <v>8.4391999999999996</v>
      </c>
      <c r="U104">
        <v>548.0788</v>
      </c>
    </row>
    <row r="106" spans="1:21">
      <c r="A106">
        <v>42007.898999999998</v>
      </c>
    </row>
    <row r="107" spans="1:21">
      <c r="A107">
        <v>6</v>
      </c>
      <c r="B107">
        <v>0</v>
      </c>
      <c r="C107">
        <v>542.57349999999997</v>
      </c>
      <c r="D107">
        <v>0</v>
      </c>
      <c r="E107">
        <v>542.57349999999997</v>
      </c>
      <c r="F107">
        <v>-4.3</v>
      </c>
      <c r="G107">
        <v>542.35850000000005</v>
      </c>
      <c r="H107">
        <v>-5.05</v>
      </c>
      <c r="I107">
        <v>542.32100000000003</v>
      </c>
      <c r="J107">
        <v>-5.8</v>
      </c>
      <c r="K107">
        <v>542.2835</v>
      </c>
      <c r="L107">
        <v>-9.2253000000000007</v>
      </c>
      <c r="M107">
        <v>540</v>
      </c>
    </row>
    <row r="108" spans="1:21">
      <c r="A108">
        <v>6</v>
      </c>
      <c r="B108">
        <v>0</v>
      </c>
      <c r="C108">
        <v>542.57349999999997</v>
      </c>
      <c r="D108">
        <v>0</v>
      </c>
      <c r="E108">
        <v>542.57349999999997</v>
      </c>
      <c r="F108">
        <v>3.5</v>
      </c>
      <c r="G108">
        <v>542.74850000000004</v>
      </c>
      <c r="H108">
        <v>4.25</v>
      </c>
      <c r="I108">
        <v>542.78599999999994</v>
      </c>
      <c r="J108">
        <v>5</v>
      </c>
      <c r="K108">
        <v>542.76350000000002</v>
      </c>
      <c r="L108">
        <v>5.0079000000000002</v>
      </c>
      <c r="M108">
        <v>542.75819999999999</v>
      </c>
    </row>
    <row r="110" spans="1:21">
      <c r="A110">
        <v>42020</v>
      </c>
    </row>
    <row r="111" spans="1:21">
      <c r="A111">
        <v>6</v>
      </c>
      <c r="B111">
        <v>0</v>
      </c>
      <c r="C111">
        <v>542.21050000000002</v>
      </c>
      <c r="D111">
        <v>0</v>
      </c>
      <c r="E111">
        <v>542.21050000000002</v>
      </c>
      <c r="F111">
        <v>-4.0233999999999996</v>
      </c>
      <c r="G111">
        <v>542.10670000000005</v>
      </c>
      <c r="H111">
        <v>-4.7733999999999996</v>
      </c>
      <c r="I111">
        <v>542.08730000000003</v>
      </c>
      <c r="J111">
        <v>-5.5233999999999996</v>
      </c>
      <c r="K111">
        <v>542.06799999999998</v>
      </c>
      <c r="L111">
        <v>-8.6254000000000008</v>
      </c>
      <c r="M111">
        <v>540</v>
      </c>
    </row>
    <row r="112" spans="1:21">
      <c r="A112">
        <v>6</v>
      </c>
      <c r="B112">
        <v>0</v>
      </c>
      <c r="C112">
        <v>542.21050000000002</v>
      </c>
      <c r="D112">
        <v>0</v>
      </c>
      <c r="E112">
        <v>542.21050000000002</v>
      </c>
      <c r="F112">
        <v>3.5</v>
      </c>
      <c r="G112">
        <v>542.30079999999998</v>
      </c>
      <c r="H112">
        <v>4.25</v>
      </c>
      <c r="I112">
        <v>542.32010000000002</v>
      </c>
      <c r="J112">
        <v>5</v>
      </c>
      <c r="K112">
        <v>542.29759999999999</v>
      </c>
      <c r="L112">
        <v>10.6929</v>
      </c>
      <c r="M112">
        <v>538.50239999999997</v>
      </c>
    </row>
    <row r="114" spans="1:19">
      <c r="A114">
        <v>42040</v>
      </c>
    </row>
    <row r="115" spans="1:19">
      <c r="A115">
        <v>6</v>
      </c>
      <c r="B115">
        <v>0</v>
      </c>
      <c r="C115">
        <v>541.61040000000003</v>
      </c>
      <c r="D115">
        <v>0</v>
      </c>
      <c r="E115">
        <v>541.61040000000003</v>
      </c>
      <c r="F115">
        <v>-3.5663</v>
      </c>
      <c r="G115">
        <v>541.53909999999996</v>
      </c>
      <c r="H115">
        <v>-4.3163</v>
      </c>
      <c r="I115">
        <v>541.52409999999998</v>
      </c>
      <c r="J115">
        <v>-5.0663</v>
      </c>
      <c r="K115">
        <v>541.50909999999999</v>
      </c>
      <c r="L115">
        <v>-7.3299000000000003</v>
      </c>
      <c r="M115">
        <v>540</v>
      </c>
    </row>
    <row r="116" spans="1:19">
      <c r="A116">
        <v>8</v>
      </c>
      <c r="B116">
        <v>0</v>
      </c>
      <c r="C116">
        <v>541.61040000000003</v>
      </c>
      <c r="D116">
        <v>0</v>
      </c>
      <c r="E116">
        <v>541.61040000000003</v>
      </c>
      <c r="F116">
        <v>3.5</v>
      </c>
      <c r="G116">
        <v>541.5607</v>
      </c>
      <c r="H116">
        <v>4.25</v>
      </c>
      <c r="I116">
        <v>541.55010000000004</v>
      </c>
      <c r="J116">
        <v>5</v>
      </c>
      <c r="K116">
        <v>541.52760000000001</v>
      </c>
      <c r="L116">
        <v>5</v>
      </c>
      <c r="M116">
        <v>541.52760000000001</v>
      </c>
      <c r="N116">
        <v>5.6</v>
      </c>
      <c r="O116">
        <v>541.52760000000001</v>
      </c>
      <c r="P116">
        <v>5.7835999999999999</v>
      </c>
      <c r="Q116">
        <v>537.85569999999996</v>
      </c>
    </row>
    <row r="118" spans="1:19">
      <c r="A118">
        <v>42042.898999999998</v>
      </c>
    </row>
    <row r="119" spans="1:19">
      <c r="A119">
        <v>6</v>
      </c>
      <c r="B119">
        <v>0</v>
      </c>
      <c r="C119">
        <v>541.52350000000001</v>
      </c>
      <c r="D119">
        <v>0</v>
      </c>
      <c r="E119">
        <v>541.52350000000001</v>
      </c>
      <c r="F119">
        <v>-3.5</v>
      </c>
      <c r="G119">
        <v>541.45349999999996</v>
      </c>
      <c r="H119">
        <v>-4.25</v>
      </c>
      <c r="I119">
        <v>541.43849999999998</v>
      </c>
      <c r="J119">
        <v>-5</v>
      </c>
      <c r="K119">
        <v>541.42349999999999</v>
      </c>
      <c r="L119">
        <v>-7.1352000000000002</v>
      </c>
      <c r="M119">
        <v>540</v>
      </c>
    </row>
    <row r="120" spans="1:19">
      <c r="A120">
        <v>8</v>
      </c>
      <c r="B120">
        <v>0</v>
      </c>
      <c r="C120">
        <v>541.52350000000001</v>
      </c>
      <c r="D120">
        <v>0</v>
      </c>
      <c r="E120">
        <v>541.52350000000001</v>
      </c>
      <c r="F120">
        <v>3.5</v>
      </c>
      <c r="G120">
        <v>541.45349999999996</v>
      </c>
      <c r="H120">
        <v>4.25</v>
      </c>
      <c r="I120">
        <v>541.43849999999998</v>
      </c>
      <c r="J120">
        <v>5</v>
      </c>
      <c r="K120">
        <v>541.41600000000005</v>
      </c>
      <c r="L120">
        <v>5</v>
      </c>
      <c r="M120">
        <v>541.41600000000005</v>
      </c>
      <c r="N120">
        <v>5.6</v>
      </c>
      <c r="O120">
        <v>541.41600000000005</v>
      </c>
      <c r="P120">
        <v>5.7968999999999999</v>
      </c>
      <c r="Q120">
        <v>537.47720000000004</v>
      </c>
    </row>
    <row r="122" spans="1:19">
      <c r="A122">
        <v>42060</v>
      </c>
    </row>
    <row r="123" spans="1:19">
      <c r="A123">
        <v>6</v>
      </c>
      <c r="B123">
        <v>0</v>
      </c>
      <c r="C123">
        <v>541.12289999999996</v>
      </c>
      <c r="D123">
        <v>0</v>
      </c>
      <c r="E123">
        <v>541.12289999999996</v>
      </c>
      <c r="F123">
        <v>-3.5</v>
      </c>
      <c r="G123">
        <v>541.05290000000002</v>
      </c>
      <c r="H123">
        <v>-4.25</v>
      </c>
      <c r="I123">
        <v>541.03790000000004</v>
      </c>
      <c r="J123">
        <v>-5</v>
      </c>
      <c r="K123">
        <v>541.0154</v>
      </c>
      <c r="L123">
        <v>-5.5877999999999997</v>
      </c>
      <c r="M123">
        <v>540.62360000000001</v>
      </c>
    </row>
    <row r="124" spans="1:19">
      <c r="A124">
        <v>8</v>
      </c>
      <c r="B124">
        <v>0</v>
      </c>
      <c r="C124">
        <v>541.12289999999996</v>
      </c>
      <c r="D124">
        <v>0</v>
      </c>
      <c r="E124">
        <v>541.12289999999996</v>
      </c>
      <c r="F124">
        <v>3.5</v>
      </c>
      <c r="G124">
        <v>541.05290000000002</v>
      </c>
      <c r="H124">
        <v>4.25</v>
      </c>
      <c r="I124">
        <v>541.03790000000004</v>
      </c>
      <c r="J124">
        <v>5</v>
      </c>
      <c r="K124">
        <v>541.0154</v>
      </c>
      <c r="L124">
        <v>5</v>
      </c>
      <c r="M124">
        <v>541.0154</v>
      </c>
      <c r="N124">
        <v>5.6</v>
      </c>
      <c r="O124">
        <v>541.0154</v>
      </c>
      <c r="P124">
        <v>5.8657000000000004</v>
      </c>
      <c r="Q124">
        <v>535.70090000000005</v>
      </c>
    </row>
    <row r="126" spans="1:19">
      <c r="A126">
        <v>42080</v>
      </c>
    </row>
    <row r="127" spans="1:19">
      <c r="A127">
        <v>9</v>
      </c>
      <c r="B127">
        <v>0</v>
      </c>
      <c r="C127">
        <v>541.02290000000005</v>
      </c>
      <c r="D127">
        <v>0</v>
      </c>
      <c r="E127">
        <v>541.02290000000005</v>
      </c>
      <c r="F127">
        <v>-3.5</v>
      </c>
      <c r="G127">
        <v>540.9529</v>
      </c>
      <c r="H127">
        <v>-4.25</v>
      </c>
      <c r="I127">
        <v>540.93790000000001</v>
      </c>
      <c r="J127">
        <v>-5</v>
      </c>
      <c r="K127">
        <v>540.91539999999998</v>
      </c>
      <c r="L127">
        <v>-5</v>
      </c>
      <c r="M127">
        <v>540.31539999999995</v>
      </c>
      <c r="N127">
        <v>-5.6</v>
      </c>
      <c r="O127">
        <v>540.31539999999995</v>
      </c>
      <c r="P127">
        <v>-5.6</v>
      </c>
      <c r="Q127">
        <v>540.91539999999998</v>
      </c>
      <c r="R127">
        <v>-6.2683</v>
      </c>
      <c r="S127">
        <v>540.91539999999998</v>
      </c>
    </row>
    <row r="128" spans="1:19">
      <c r="A128">
        <v>8</v>
      </c>
      <c r="B128">
        <v>0</v>
      </c>
      <c r="C128">
        <v>541.02290000000005</v>
      </c>
      <c r="D128">
        <v>0</v>
      </c>
      <c r="E128">
        <v>541.02290000000005</v>
      </c>
      <c r="F128">
        <v>3.5</v>
      </c>
      <c r="G128">
        <v>540.9529</v>
      </c>
      <c r="H128">
        <v>4.25</v>
      </c>
      <c r="I128">
        <v>540.93790000000001</v>
      </c>
      <c r="J128">
        <v>5</v>
      </c>
      <c r="K128">
        <v>540.91539999999998</v>
      </c>
      <c r="L128">
        <v>5</v>
      </c>
      <c r="M128">
        <v>540.91539999999998</v>
      </c>
      <c r="N128">
        <v>5.6</v>
      </c>
      <c r="O128">
        <v>540.91539999999998</v>
      </c>
      <c r="P128">
        <v>5.9558999999999997</v>
      </c>
      <c r="Q128">
        <v>533.79729999999995</v>
      </c>
    </row>
    <row r="130" spans="1:17">
      <c r="A130">
        <v>42100</v>
      </c>
    </row>
    <row r="131" spans="1:17">
      <c r="A131">
        <v>6</v>
      </c>
      <c r="B131">
        <v>0</v>
      </c>
      <c r="C131">
        <v>541.3229</v>
      </c>
      <c r="D131">
        <v>0</v>
      </c>
      <c r="E131">
        <v>541.3229</v>
      </c>
      <c r="F131">
        <v>-3.5</v>
      </c>
      <c r="G131">
        <v>541.25289999999995</v>
      </c>
      <c r="H131">
        <v>-4.25</v>
      </c>
      <c r="I131">
        <v>541.23789999999997</v>
      </c>
      <c r="J131">
        <v>-5</v>
      </c>
      <c r="K131">
        <v>541.21540000000005</v>
      </c>
      <c r="L131">
        <v>-6.5448000000000004</v>
      </c>
      <c r="M131">
        <v>540.18560000000002</v>
      </c>
    </row>
    <row r="132" spans="1:17">
      <c r="A132">
        <v>8</v>
      </c>
      <c r="B132">
        <v>0</v>
      </c>
      <c r="C132">
        <v>541.3229</v>
      </c>
      <c r="D132">
        <v>0</v>
      </c>
      <c r="E132">
        <v>541.3229</v>
      </c>
      <c r="F132">
        <v>3.5</v>
      </c>
      <c r="G132">
        <v>541.25289999999995</v>
      </c>
      <c r="H132">
        <v>4.25</v>
      </c>
      <c r="I132">
        <v>541.23789999999997</v>
      </c>
      <c r="J132">
        <v>5</v>
      </c>
      <c r="K132">
        <v>541.21540000000005</v>
      </c>
      <c r="L132">
        <v>17</v>
      </c>
      <c r="M132">
        <v>533.21540000000005</v>
      </c>
      <c r="N132">
        <v>18.5</v>
      </c>
      <c r="O132">
        <v>533.21540000000005</v>
      </c>
      <c r="P132">
        <v>24.126999999999999</v>
      </c>
      <c r="Q132">
        <v>530</v>
      </c>
    </row>
    <row r="134" spans="1:17">
      <c r="A134">
        <v>42120</v>
      </c>
    </row>
    <row r="135" spans="1:17">
      <c r="A135">
        <v>6</v>
      </c>
      <c r="B135">
        <v>0</v>
      </c>
      <c r="C135">
        <v>542.02290000000005</v>
      </c>
      <c r="D135">
        <v>0</v>
      </c>
      <c r="E135">
        <v>542.02290000000005</v>
      </c>
      <c r="F135">
        <v>-3.5</v>
      </c>
      <c r="G135">
        <v>541.9529</v>
      </c>
      <c r="H135">
        <v>-4.25</v>
      </c>
      <c r="I135">
        <v>541.93790000000001</v>
      </c>
      <c r="J135">
        <v>-5</v>
      </c>
      <c r="K135">
        <v>541.91539999999998</v>
      </c>
      <c r="L135">
        <v>-8.7810000000000006</v>
      </c>
      <c r="M135">
        <v>539.39480000000003</v>
      </c>
    </row>
    <row r="136" spans="1:17">
      <c r="A136">
        <v>8</v>
      </c>
      <c r="B136">
        <v>0</v>
      </c>
      <c r="C136">
        <v>542.02290000000005</v>
      </c>
      <c r="D136">
        <v>0</v>
      </c>
      <c r="E136">
        <v>542.02290000000005</v>
      </c>
      <c r="F136">
        <v>3.5</v>
      </c>
      <c r="G136">
        <v>541.9529</v>
      </c>
      <c r="H136">
        <v>4.25</v>
      </c>
      <c r="I136">
        <v>541.93790000000001</v>
      </c>
      <c r="J136">
        <v>5</v>
      </c>
      <c r="K136">
        <v>541.91539999999998</v>
      </c>
      <c r="L136">
        <v>17</v>
      </c>
      <c r="M136">
        <v>533.91539999999998</v>
      </c>
      <c r="N136">
        <v>18.5</v>
      </c>
      <c r="O136">
        <v>533.91539999999998</v>
      </c>
      <c r="P136">
        <v>25.352</v>
      </c>
      <c r="Q136">
        <v>530</v>
      </c>
    </row>
    <row r="138" spans="1:17">
      <c r="A138">
        <v>42128.457999999999</v>
      </c>
    </row>
    <row r="139" spans="1:17">
      <c r="A139">
        <v>6</v>
      </c>
      <c r="B139">
        <v>0</v>
      </c>
      <c r="C139">
        <v>542.43330000000003</v>
      </c>
      <c r="D139">
        <v>0</v>
      </c>
      <c r="E139">
        <v>542.43330000000003</v>
      </c>
      <c r="F139">
        <v>-3.5</v>
      </c>
      <c r="G139">
        <v>542.36329999999998</v>
      </c>
      <c r="H139">
        <v>-4.25</v>
      </c>
      <c r="I139">
        <v>542.34829999999999</v>
      </c>
      <c r="J139">
        <v>-5</v>
      </c>
      <c r="K139">
        <v>542.32579999999996</v>
      </c>
      <c r="L139">
        <v>-9.3650000000000002</v>
      </c>
      <c r="M139">
        <v>539.41579999999999</v>
      </c>
    </row>
    <row r="140" spans="1:17">
      <c r="A140">
        <v>8</v>
      </c>
      <c r="B140">
        <v>0</v>
      </c>
      <c r="C140">
        <v>542.43330000000003</v>
      </c>
      <c r="D140">
        <v>0</v>
      </c>
      <c r="E140">
        <v>542.43330000000003</v>
      </c>
      <c r="F140">
        <v>3.5</v>
      </c>
      <c r="G140">
        <v>542.36329999999998</v>
      </c>
      <c r="H140">
        <v>4.25</v>
      </c>
      <c r="I140">
        <v>542.34829999999999</v>
      </c>
      <c r="J140">
        <v>5</v>
      </c>
      <c r="K140">
        <v>542.33330000000001</v>
      </c>
      <c r="L140">
        <v>17</v>
      </c>
      <c r="M140">
        <v>534.33330000000001</v>
      </c>
      <c r="N140">
        <v>18.5</v>
      </c>
      <c r="O140">
        <v>534.33330000000001</v>
      </c>
      <c r="P140">
        <v>25.371500000000001</v>
      </c>
      <c r="Q140">
        <v>530.4067</v>
      </c>
    </row>
    <row r="142" spans="1:17">
      <c r="A142">
        <v>42140</v>
      </c>
    </row>
    <row r="143" spans="1:17">
      <c r="A143">
        <v>6</v>
      </c>
      <c r="B143">
        <v>0</v>
      </c>
      <c r="C143">
        <v>543.0104</v>
      </c>
      <c r="D143">
        <v>0</v>
      </c>
      <c r="E143">
        <v>543.0104</v>
      </c>
      <c r="F143">
        <v>-3.5</v>
      </c>
      <c r="G143">
        <v>543.00969999999995</v>
      </c>
      <c r="H143">
        <v>-4.25</v>
      </c>
      <c r="I143">
        <v>543.0095</v>
      </c>
      <c r="J143">
        <v>-5</v>
      </c>
      <c r="K143">
        <v>542.98699999999997</v>
      </c>
      <c r="L143">
        <v>-10.0839</v>
      </c>
      <c r="M143">
        <v>539.59770000000003</v>
      </c>
    </row>
    <row r="144" spans="1:17">
      <c r="A144">
        <v>8</v>
      </c>
      <c r="B144">
        <v>0</v>
      </c>
      <c r="C144">
        <v>543.0104</v>
      </c>
      <c r="D144">
        <v>0</v>
      </c>
      <c r="E144">
        <v>543.0104</v>
      </c>
      <c r="F144">
        <v>3.5</v>
      </c>
      <c r="G144">
        <v>542.94039999999995</v>
      </c>
      <c r="H144">
        <v>4.25</v>
      </c>
      <c r="I144">
        <v>542.92539999999997</v>
      </c>
      <c r="J144">
        <v>5</v>
      </c>
      <c r="K144">
        <v>542.91039999999998</v>
      </c>
      <c r="L144">
        <v>17</v>
      </c>
      <c r="M144">
        <v>534.91039999999998</v>
      </c>
      <c r="N144">
        <v>18.5</v>
      </c>
      <c r="O144">
        <v>534.91039999999998</v>
      </c>
      <c r="P144">
        <v>23.997800000000002</v>
      </c>
      <c r="Q144">
        <v>531.76880000000006</v>
      </c>
    </row>
    <row r="146" spans="1:17">
      <c r="A146">
        <v>42160</v>
      </c>
    </row>
    <row r="147" spans="1:17">
      <c r="A147">
        <v>6</v>
      </c>
      <c r="B147">
        <v>0</v>
      </c>
      <c r="C147">
        <v>544.0104</v>
      </c>
      <c r="D147">
        <v>0</v>
      </c>
      <c r="E147">
        <v>544.0104</v>
      </c>
      <c r="F147">
        <v>-3.5</v>
      </c>
      <c r="G147">
        <v>544.12969999999996</v>
      </c>
      <c r="H147">
        <v>-4.25</v>
      </c>
      <c r="I147">
        <v>544.15520000000004</v>
      </c>
      <c r="J147">
        <v>-5</v>
      </c>
      <c r="K147">
        <v>544.1327</v>
      </c>
      <c r="L147">
        <v>-10.856299999999999</v>
      </c>
      <c r="M147">
        <v>540.22850000000005</v>
      </c>
    </row>
    <row r="148" spans="1:17">
      <c r="A148">
        <v>8</v>
      </c>
      <c r="B148">
        <v>0</v>
      </c>
      <c r="C148">
        <v>544.0104</v>
      </c>
      <c r="D148">
        <v>0</v>
      </c>
      <c r="E148">
        <v>544.0104</v>
      </c>
      <c r="F148">
        <v>3.5</v>
      </c>
      <c r="G148">
        <v>543.89110000000005</v>
      </c>
      <c r="H148">
        <v>4.25</v>
      </c>
      <c r="I148">
        <v>543.86559999999997</v>
      </c>
      <c r="J148">
        <v>5</v>
      </c>
      <c r="K148">
        <v>543.84</v>
      </c>
      <c r="L148">
        <v>17</v>
      </c>
      <c r="M148">
        <v>535.84</v>
      </c>
      <c r="N148">
        <v>18.5</v>
      </c>
      <c r="O148">
        <v>535.84</v>
      </c>
      <c r="P148">
        <v>24.476299999999998</v>
      </c>
      <c r="Q148">
        <v>532.42499999999995</v>
      </c>
    </row>
    <row r="150" spans="1:17">
      <c r="A150">
        <v>42163.457999999999</v>
      </c>
    </row>
    <row r="151" spans="1:17">
      <c r="A151">
        <v>6</v>
      </c>
      <c r="B151">
        <v>0</v>
      </c>
      <c r="C151">
        <v>544.18330000000003</v>
      </c>
      <c r="D151">
        <v>0</v>
      </c>
      <c r="E151">
        <v>544.18330000000003</v>
      </c>
      <c r="F151">
        <v>-3.5</v>
      </c>
      <c r="G151">
        <v>544.32330000000002</v>
      </c>
      <c r="H151">
        <v>-4.25</v>
      </c>
      <c r="I151">
        <v>544.35329999999999</v>
      </c>
      <c r="J151">
        <v>-5</v>
      </c>
      <c r="K151">
        <v>544.33079999999995</v>
      </c>
      <c r="L151">
        <v>-11.0169</v>
      </c>
      <c r="M151">
        <v>540.31949999999995</v>
      </c>
    </row>
    <row r="152" spans="1:17">
      <c r="A152">
        <v>8</v>
      </c>
      <c r="B152">
        <v>0</v>
      </c>
      <c r="C152">
        <v>544.18330000000003</v>
      </c>
      <c r="D152">
        <v>0</v>
      </c>
      <c r="E152">
        <v>544.18330000000003</v>
      </c>
      <c r="F152">
        <v>3.5</v>
      </c>
      <c r="G152">
        <v>544.04330000000004</v>
      </c>
      <c r="H152">
        <v>4.25</v>
      </c>
      <c r="I152">
        <v>544.01329999999996</v>
      </c>
      <c r="J152">
        <v>5</v>
      </c>
      <c r="K152">
        <v>543.98329999999999</v>
      </c>
      <c r="L152">
        <v>17</v>
      </c>
      <c r="M152">
        <v>535.98329999999999</v>
      </c>
      <c r="N152">
        <v>18.5</v>
      </c>
      <c r="O152">
        <v>535.98329999999999</v>
      </c>
      <c r="P152">
        <v>24.361599999999999</v>
      </c>
      <c r="Q152">
        <v>532.63379999999995</v>
      </c>
    </row>
    <row r="154" spans="1:17">
      <c r="A154">
        <v>42180</v>
      </c>
    </row>
    <row r="155" spans="1:17">
      <c r="A155">
        <v>6</v>
      </c>
      <c r="B155">
        <v>0</v>
      </c>
      <c r="C155">
        <v>545.0104</v>
      </c>
      <c r="D155">
        <v>0</v>
      </c>
      <c r="E155">
        <v>545.0104</v>
      </c>
      <c r="F155">
        <v>-3.5</v>
      </c>
      <c r="G155">
        <v>545.15039999999999</v>
      </c>
      <c r="H155">
        <v>-4.25</v>
      </c>
      <c r="I155">
        <v>545.18039999999996</v>
      </c>
      <c r="J155">
        <v>-5</v>
      </c>
      <c r="K155">
        <v>545.15790000000004</v>
      </c>
      <c r="L155">
        <v>-11.887700000000001</v>
      </c>
      <c r="M155">
        <v>540.56610000000001</v>
      </c>
    </row>
    <row r="156" spans="1:17">
      <c r="A156">
        <v>8</v>
      </c>
      <c r="B156">
        <v>0</v>
      </c>
      <c r="C156">
        <v>545.0104</v>
      </c>
      <c r="D156">
        <v>0</v>
      </c>
      <c r="E156">
        <v>545.0104</v>
      </c>
      <c r="F156">
        <v>3.5</v>
      </c>
      <c r="G156">
        <v>544.87040000000002</v>
      </c>
      <c r="H156">
        <v>4.25</v>
      </c>
      <c r="I156">
        <v>544.84040000000005</v>
      </c>
      <c r="J156">
        <v>5</v>
      </c>
      <c r="K156">
        <v>544.81039999999996</v>
      </c>
      <c r="L156">
        <v>17</v>
      </c>
      <c r="M156">
        <v>536.81039999999996</v>
      </c>
      <c r="N156">
        <v>18.5</v>
      </c>
      <c r="O156">
        <v>536.81039999999996</v>
      </c>
      <c r="P156">
        <v>24.6877</v>
      </c>
      <c r="Q156">
        <v>533.27449999999999</v>
      </c>
    </row>
    <row r="158" spans="1:17">
      <c r="A158">
        <v>42200</v>
      </c>
    </row>
    <row r="159" spans="1:17">
      <c r="A159">
        <v>6</v>
      </c>
      <c r="B159">
        <v>0</v>
      </c>
      <c r="C159">
        <v>546.0104</v>
      </c>
      <c r="D159">
        <v>0</v>
      </c>
      <c r="E159">
        <v>546.0104</v>
      </c>
      <c r="F159">
        <v>-3.5</v>
      </c>
      <c r="G159">
        <v>546.15039999999999</v>
      </c>
      <c r="H159">
        <v>-4.25</v>
      </c>
      <c r="I159">
        <v>546.18039999999996</v>
      </c>
      <c r="J159">
        <v>-5</v>
      </c>
      <c r="K159">
        <v>546.15790000000004</v>
      </c>
      <c r="L159">
        <v>-13.866199999999999</v>
      </c>
      <c r="M159">
        <v>540.24710000000005</v>
      </c>
    </row>
    <row r="160" spans="1:17">
      <c r="A160">
        <v>8</v>
      </c>
      <c r="B160">
        <v>0</v>
      </c>
      <c r="C160">
        <v>546.0104</v>
      </c>
      <c r="D160">
        <v>0</v>
      </c>
      <c r="E160">
        <v>546.0104</v>
      </c>
      <c r="F160">
        <v>3.5</v>
      </c>
      <c r="G160">
        <v>545.87040000000002</v>
      </c>
      <c r="H160">
        <v>4.25</v>
      </c>
      <c r="I160">
        <v>545.84040000000005</v>
      </c>
      <c r="J160">
        <v>5</v>
      </c>
      <c r="K160">
        <v>545.81039999999996</v>
      </c>
      <c r="L160">
        <v>17</v>
      </c>
      <c r="M160">
        <v>537.81039999999996</v>
      </c>
      <c r="N160">
        <v>18.5</v>
      </c>
      <c r="O160">
        <v>537.81039999999996</v>
      </c>
      <c r="P160">
        <v>23.291799999999999</v>
      </c>
      <c r="Q160">
        <v>535.07219999999995</v>
      </c>
    </row>
    <row r="162" spans="1:17">
      <c r="A162">
        <v>42219.784</v>
      </c>
    </row>
    <row r="163" spans="1:17">
      <c r="A163">
        <v>8</v>
      </c>
      <c r="B163">
        <v>0</v>
      </c>
      <c r="C163">
        <v>546.99959999999999</v>
      </c>
      <c r="D163">
        <v>0</v>
      </c>
      <c r="E163">
        <v>546.99959999999999</v>
      </c>
      <c r="F163">
        <v>-3.5</v>
      </c>
      <c r="G163">
        <v>547.13959999999997</v>
      </c>
      <c r="H163">
        <v>-4.25</v>
      </c>
      <c r="I163">
        <v>547.16959999999995</v>
      </c>
      <c r="J163">
        <v>-5</v>
      </c>
      <c r="K163">
        <v>547.14710000000002</v>
      </c>
      <c r="L163">
        <v>-17</v>
      </c>
      <c r="M163">
        <v>539.14710000000002</v>
      </c>
      <c r="N163">
        <v>-18.5</v>
      </c>
      <c r="O163">
        <v>539.14710000000002</v>
      </c>
      <c r="P163">
        <v>-18.558900000000001</v>
      </c>
      <c r="Q163">
        <v>539.11339999999996</v>
      </c>
    </row>
    <row r="164" spans="1:17">
      <c r="A164">
        <v>8</v>
      </c>
      <c r="B164">
        <v>0</v>
      </c>
      <c r="C164">
        <v>546.99959999999999</v>
      </c>
      <c r="D164">
        <v>0</v>
      </c>
      <c r="E164">
        <v>546.99959999999999</v>
      </c>
      <c r="F164">
        <v>3.5</v>
      </c>
      <c r="G164">
        <v>546.8596</v>
      </c>
      <c r="H164">
        <v>4.25</v>
      </c>
      <c r="I164">
        <v>546.82960000000003</v>
      </c>
      <c r="J164">
        <v>5</v>
      </c>
      <c r="K164">
        <v>546.79960000000005</v>
      </c>
      <c r="L164">
        <v>17</v>
      </c>
      <c r="M164">
        <v>538.79960000000005</v>
      </c>
      <c r="N164">
        <v>18.5</v>
      </c>
      <c r="O164">
        <v>538.79960000000005</v>
      </c>
      <c r="P164">
        <v>19.5487</v>
      </c>
      <c r="Q164">
        <v>538.20039999999995</v>
      </c>
    </row>
    <row r="166" spans="1:17">
      <c r="A166">
        <v>42220</v>
      </c>
    </row>
    <row r="167" spans="1:17">
      <c r="A167">
        <v>8</v>
      </c>
      <c r="B167">
        <v>0</v>
      </c>
      <c r="C167">
        <v>547.0104</v>
      </c>
      <c r="D167">
        <v>0</v>
      </c>
      <c r="E167">
        <v>547.0104</v>
      </c>
      <c r="F167">
        <v>-3.5</v>
      </c>
      <c r="G167">
        <v>547.15039999999999</v>
      </c>
      <c r="H167">
        <v>-4.25</v>
      </c>
      <c r="I167">
        <v>547.18039999999996</v>
      </c>
      <c r="J167">
        <v>-5</v>
      </c>
      <c r="K167">
        <v>547.15790000000004</v>
      </c>
      <c r="L167">
        <v>-17</v>
      </c>
      <c r="M167">
        <v>539.15790000000004</v>
      </c>
      <c r="N167">
        <v>-18.5</v>
      </c>
      <c r="O167">
        <v>539.15790000000004</v>
      </c>
      <c r="P167">
        <v>-18.611799999999999</v>
      </c>
      <c r="Q167">
        <v>539.09400000000005</v>
      </c>
    </row>
    <row r="168" spans="1:17">
      <c r="A168">
        <v>8</v>
      </c>
      <c r="B168">
        <v>0</v>
      </c>
      <c r="C168">
        <v>547.0104</v>
      </c>
      <c r="D168">
        <v>0</v>
      </c>
      <c r="E168">
        <v>547.0104</v>
      </c>
      <c r="F168">
        <v>3.5</v>
      </c>
      <c r="G168">
        <v>546.87040000000002</v>
      </c>
      <c r="H168">
        <v>4.25</v>
      </c>
      <c r="I168">
        <v>546.84040000000005</v>
      </c>
      <c r="J168">
        <v>5</v>
      </c>
      <c r="K168">
        <v>546.81039999999996</v>
      </c>
      <c r="L168">
        <v>17</v>
      </c>
      <c r="M168">
        <v>538.81039999999996</v>
      </c>
      <c r="N168">
        <v>18.5</v>
      </c>
      <c r="O168">
        <v>538.81039999999996</v>
      </c>
      <c r="P168">
        <v>19.514700000000001</v>
      </c>
      <c r="Q168">
        <v>538.23059999999998</v>
      </c>
    </row>
    <row r="170" spans="1:17">
      <c r="A170">
        <v>42240</v>
      </c>
    </row>
    <row r="171" spans="1:17">
      <c r="A171">
        <v>8</v>
      </c>
      <c r="B171">
        <v>0</v>
      </c>
      <c r="C171">
        <v>547.99810000000002</v>
      </c>
      <c r="D171">
        <v>0</v>
      </c>
      <c r="E171">
        <v>547.99810000000002</v>
      </c>
      <c r="F171">
        <v>-3.5</v>
      </c>
      <c r="G171">
        <v>548.13810000000001</v>
      </c>
      <c r="H171">
        <v>-4.25</v>
      </c>
      <c r="I171">
        <v>548.16809999999998</v>
      </c>
      <c r="J171">
        <v>-5</v>
      </c>
      <c r="K171">
        <v>548.14559999999994</v>
      </c>
      <c r="L171">
        <v>-17</v>
      </c>
      <c r="M171">
        <v>540.14559999999994</v>
      </c>
      <c r="N171">
        <v>-18.5</v>
      </c>
      <c r="O171">
        <v>540.14559999999994</v>
      </c>
      <c r="P171">
        <v>-18.7547</v>
      </c>
      <c r="Q171">
        <v>540</v>
      </c>
    </row>
    <row r="172" spans="1:17">
      <c r="A172">
        <v>6</v>
      </c>
      <c r="B172">
        <v>0</v>
      </c>
      <c r="C172">
        <v>547.99810000000002</v>
      </c>
      <c r="D172">
        <v>0</v>
      </c>
      <c r="E172">
        <v>547.99810000000002</v>
      </c>
      <c r="F172">
        <v>3.5</v>
      </c>
      <c r="G172">
        <v>547.85810000000004</v>
      </c>
      <c r="H172">
        <v>4.25</v>
      </c>
      <c r="I172">
        <v>547.82809999999995</v>
      </c>
      <c r="J172">
        <v>5</v>
      </c>
      <c r="K172">
        <v>547.79809999999998</v>
      </c>
      <c r="L172">
        <v>15.748799999999999</v>
      </c>
      <c r="M172">
        <v>540.63220000000001</v>
      </c>
    </row>
    <row r="174" spans="1:17">
      <c r="A174">
        <v>42260</v>
      </c>
    </row>
    <row r="175" spans="1:17">
      <c r="A175">
        <v>8</v>
      </c>
      <c r="B175">
        <v>0</v>
      </c>
      <c r="C175">
        <v>548.87710000000004</v>
      </c>
      <c r="D175">
        <v>0</v>
      </c>
      <c r="E175">
        <v>548.87710000000004</v>
      </c>
      <c r="F175">
        <v>-3.5</v>
      </c>
      <c r="G175">
        <v>549.01710000000003</v>
      </c>
      <c r="H175">
        <v>-4.25</v>
      </c>
      <c r="I175">
        <v>549.0471</v>
      </c>
      <c r="J175">
        <v>-5</v>
      </c>
      <c r="K175">
        <v>549.02459999999996</v>
      </c>
      <c r="L175">
        <v>-17</v>
      </c>
      <c r="M175">
        <v>541.02459999999996</v>
      </c>
      <c r="N175">
        <v>-18.5</v>
      </c>
      <c r="O175">
        <v>541.02459999999996</v>
      </c>
      <c r="P175">
        <v>-20.292999999999999</v>
      </c>
      <c r="Q175">
        <v>540</v>
      </c>
    </row>
    <row r="176" spans="1:17">
      <c r="A176">
        <v>6</v>
      </c>
      <c r="B176">
        <v>0</v>
      </c>
      <c r="C176">
        <v>548.87710000000004</v>
      </c>
      <c r="D176">
        <v>0</v>
      </c>
      <c r="E176">
        <v>548.87710000000004</v>
      </c>
      <c r="F176">
        <v>3.5</v>
      </c>
      <c r="G176">
        <v>548.73710000000005</v>
      </c>
      <c r="H176">
        <v>4.25</v>
      </c>
      <c r="I176">
        <v>548.70709999999997</v>
      </c>
      <c r="J176">
        <v>5</v>
      </c>
      <c r="K176">
        <v>548.6771</v>
      </c>
      <c r="L176">
        <v>11.925000000000001</v>
      </c>
      <c r="M176">
        <v>544.06039999999996</v>
      </c>
    </row>
    <row r="178" spans="1:21">
      <c r="A178">
        <v>42276.110999999997</v>
      </c>
    </row>
    <row r="179" spans="1:21">
      <c r="A179">
        <v>6</v>
      </c>
      <c r="B179">
        <v>0</v>
      </c>
      <c r="C179">
        <v>549.4914</v>
      </c>
      <c r="D179">
        <v>0</v>
      </c>
      <c r="E179">
        <v>549.4914</v>
      </c>
      <c r="F179">
        <v>-3.5</v>
      </c>
      <c r="G179">
        <v>549.63139999999999</v>
      </c>
      <c r="H179">
        <v>-4.25</v>
      </c>
      <c r="I179">
        <v>549.66139999999996</v>
      </c>
      <c r="J179">
        <v>-5</v>
      </c>
      <c r="K179">
        <v>549.63890000000004</v>
      </c>
      <c r="L179">
        <v>-15.8002</v>
      </c>
      <c r="M179">
        <v>542.43870000000004</v>
      </c>
    </row>
    <row r="180" spans="1:21">
      <c r="A180">
        <v>6</v>
      </c>
      <c r="B180">
        <v>0</v>
      </c>
      <c r="C180">
        <v>549.4914</v>
      </c>
      <c r="D180">
        <v>0</v>
      </c>
      <c r="E180">
        <v>549.4914</v>
      </c>
      <c r="F180">
        <v>3.5</v>
      </c>
      <c r="G180">
        <v>549.35140000000001</v>
      </c>
      <c r="H180">
        <v>4.25</v>
      </c>
      <c r="I180">
        <v>549.32140000000004</v>
      </c>
      <c r="J180">
        <v>5</v>
      </c>
      <c r="K180">
        <v>549.29139999999995</v>
      </c>
      <c r="L180">
        <v>9.3901000000000003</v>
      </c>
      <c r="M180">
        <v>546.3646</v>
      </c>
    </row>
    <row r="182" spans="1:21">
      <c r="A182">
        <v>42280</v>
      </c>
    </row>
    <row r="183" spans="1:21">
      <c r="A183">
        <v>6</v>
      </c>
      <c r="B183">
        <v>0</v>
      </c>
      <c r="C183">
        <v>549.62710000000004</v>
      </c>
      <c r="D183">
        <v>0</v>
      </c>
      <c r="E183">
        <v>549.62710000000004</v>
      </c>
      <c r="F183">
        <v>-3.5</v>
      </c>
      <c r="G183">
        <v>549.74369999999999</v>
      </c>
      <c r="H183">
        <v>-4.25</v>
      </c>
      <c r="I183">
        <v>549.76869999999997</v>
      </c>
      <c r="J183">
        <v>-5</v>
      </c>
      <c r="K183">
        <v>549.74620000000004</v>
      </c>
      <c r="L183">
        <v>-14.569599999999999</v>
      </c>
      <c r="M183">
        <v>543.36649999999997</v>
      </c>
    </row>
    <row r="184" spans="1:21">
      <c r="A184">
        <v>6</v>
      </c>
      <c r="B184">
        <v>0</v>
      </c>
      <c r="C184">
        <v>549.62710000000004</v>
      </c>
      <c r="D184">
        <v>0</v>
      </c>
      <c r="E184">
        <v>549.62710000000004</v>
      </c>
      <c r="F184">
        <v>3.5</v>
      </c>
      <c r="G184">
        <v>549.5104</v>
      </c>
      <c r="H184">
        <v>4.25</v>
      </c>
      <c r="I184">
        <v>549.48540000000003</v>
      </c>
      <c r="J184">
        <v>5</v>
      </c>
      <c r="K184">
        <v>549.46040000000005</v>
      </c>
      <c r="L184">
        <v>8.7621000000000002</v>
      </c>
      <c r="M184">
        <v>546.95230000000004</v>
      </c>
    </row>
    <row r="186" spans="1:21">
      <c r="A186">
        <v>42300</v>
      </c>
    </row>
    <row r="187" spans="1:21">
      <c r="A187">
        <v>6</v>
      </c>
      <c r="B187">
        <v>0</v>
      </c>
      <c r="C187">
        <v>550.24810000000002</v>
      </c>
      <c r="D187">
        <v>0</v>
      </c>
      <c r="E187">
        <v>550.24810000000002</v>
      </c>
      <c r="F187">
        <v>-3.5</v>
      </c>
      <c r="G187">
        <v>550.24469999999997</v>
      </c>
      <c r="H187">
        <v>-4.25</v>
      </c>
      <c r="I187">
        <v>550.24400000000003</v>
      </c>
      <c r="J187">
        <v>-5</v>
      </c>
      <c r="K187">
        <v>550.22149999999999</v>
      </c>
      <c r="L187">
        <v>-7.6620999999999997</v>
      </c>
      <c r="M187">
        <v>548.44680000000005</v>
      </c>
    </row>
    <row r="188" spans="1:21">
      <c r="A188">
        <v>6</v>
      </c>
      <c r="B188">
        <v>0</v>
      </c>
      <c r="C188">
        <v>550.24810000000002</v>
      </c>
      <c r="D188">
        <v>0</v>
      </c>
      <c r="E188">
        <v>550.24810000000002</v>
      </c>
      <c r="F188">
        <v>3.5</v>
      </c>
      <c r="G188">
        <v>550.17809999999997</v>
      </c>
      <c r="H188">
        <v>4.25</v>
      </c>
      <c r="I188">
        <v>550.16309999999999</v>
      </c>
      <c r="J188">
        <v>5</v>
      </c>
      <c r="K188">
        <v>550.1481</v>
      </c>
      <c r="L188">
        <v>5.2458999999999998</v>
      </c>
      <c r="M188">
        <v>549.98410000000001</v>
      </c>
    </row>
    <row r="190" spans="1:21">
      <c r="A190">
        <v>42311.110999999997</v>
      </c>
    </row>
    <row r="191" spans="1:21">
      <c r="A191">
        <v>10</v>
      </c>
      <c r="B191">
        <v>0</v>
      </c>
      <c r="C191">
        <v>550.53819999999996</v>
      </c>
      <c r="D191">
        <v>0</v>
      </c>
      <c r="E191">
        <v>550.53819999999996</v>
      </c>
      <c r="F191">
        <v>-3.5</v>
      </c>
      <c r="G191">
        <v>550.46820000000002</v>
      </c>
      <c r="H191">
        <v>-4.25</v>
      </c>
      <c r="I191">
        <v>550.45320000000004</v>
      </c>
      <c r="J191">
        <v>-5</v>
      </c>
      <c r="K191">
        <v>550.4307</v>
      </c>
      <c r="L191">
        <v>-5</v>
      </c>
      <c r="M191">
        <v>549.83069999999998</v>
      </c>
      <c r="N191">
        <v>-5.6</v>
      </c>
      <c r="O191">
        <v>549.83069999999998</v>
      </c>
      <c r="P191">
        <v>-5.6</v>
      </c>
      <c r="Q191">
        <v>550.4307</v>
      </c>
      <c r="R191">
        <v>-5.9</v>
      </c>
      <c r="S191">
        <v>550.4307</v>
      </c>
      <c r="T191">
        <v>-6.1706000000000003</v>
      </c>
      <c r="U191">
        <v>550.97180000000003</v>
      </c>
    </row>
    <row r="192" spans="1:21">
      <c r="A192">
        <v>10</v>
      </c>
      <c r="B192">
        <v>0</v>
      </c>
      <c r="C192">
        <v>550.53819999999996</v>
      </c>
      <c r="D192">
        <v>0</v>
      </c>
      <c r="E192">
        <v>550.53819999999996</v>
      </c>
      <c r="F192">
        <v>3.5</v>
      </c>
      <c r="G192">
        <v>550.46820000000002</v>
      </c>
      <c r="H192">
        <v>4.25</v>
      </c>
      <c r="I192">
        <v>550.45320000000004</v>
      </c>
      <c r="J192">
        <v>5</v>
      </c>
      <c r="K192">
        <v>550.43820000000005</v>
      </c>
      <c r="L192">
        <v>5</v>
      </c>
      <c r="M192">
        <v>549.83820000000003</v>
      </c>
      <c r="N192">
        <v>5.6</v>
      </c>
      <c r="O192">
        <v>549.83820000000003</v>
      </c>
      <c r="P192">
        <v>5.6</v>
      </c>
      <c r="Q192">
        <v>550.43820000000005</v>
      </c>
      <c r="R192">
        <v>5.9</v>
      </c>
      <c r="S192">
        <v>550.43820000000005</v>
      </c>
      <c r="T192">
        <v>7.0006000000000004</v>
      </c>
      <c r="U192">
        <v>552.63940000000002</v>
      </c>
    </row>
    <row r="194" spans="1:21">
      <c r="A194">
        <v>42320</v>
      </c>
    </row>
    <row r="195" spans="1:21">
      <c r="A195">
        <v>10</v>
      </c>
      <c r="B195">
        <v>0</v>
      </c>
      <c r="C195">
        <v>550.7604</v>
      </c>
      <c r="D195">
        <v>0</v>
      </c>
      <c r="E195">
        <v>550.7604</v>
      </c>
      <c r="F195">
        <v>-3.5</v>
      </c>
      <c r="G195">
        <v>550.69039999999995</v>
      </c>
      <c r="H195">
        <v>-4.25</v>
      </c>
      <c r="I195">
        <v>550.67539999999997</v>
      </c>
      <c r="J195">
        <v>-5</v>
      </c>
      <c r="K195">
        <v>550.65290000000005</v>
      </c>
      <c r="L195">
        <v>-5</v>
      </c>
      <c r="M195">
        <v>550.05290000000002</v>
      </c>
      <c r="N195">
        <v>-5.6</v>
      </c>
      <c r="O195">
        <v>550.05290000000002</v>
      </c>
      <c r="P195">
        <v>-5.6</v>
      </c>
      <c r="Q195">
        <v>550.65290000000005</v>
      </c>
      <c r="R195">
        <v>-5.9</v>
      </c>
      <c r="S195">
        <v>550.65290000000005</v>
      </c>
      <c r="T195">
        <v>-6.6218000000000004</v>
      </c>
      <c r="U195">
        <v>552.09659999999997</v>
      </c>
    </row>
    <row r="196" spans="1:21">
      <c r="A196">
        <v>10</v>
      </c>
      <c r="B196">
        <v>0</v>
      </c>
      <c r="C196">
        <v>550.7604</v>
      </c>
      <c r="D196">
        <v>0</v>
      </c>
      <c r="E196">
        <v>550.7604</v>
      </c>
      <c r="F196">
        <v>3.5</v>
      </c>
      <c r="G196">
        <v>550.69039999999995</v>
      </c>
      <c r="H196">
        <v>4.25</v>
      </c>
      <c r="I196">
        <v>550.67539999999997</v>
      </c>
      <c r="J196">
        <v>5</v>
      </c>
      <c r="K196">
        <v>550.65290000000005</v>
      </c>
      <c r="L196">
        <v>5</v>
      </c>
      <c r="M196">
        <v>550.05290000000002</v>
      </c>
      <c r="N196">
        <v>5.6</v>
      </c>
      <c r="O196">
        <v>550.05290000000002</v>
      </c>
      <c r="P196">
        <v>5.6</v>
      </c>
      <c r="Q196">
        <v>550.65290000000005</v>
      </c>
      <c r="R196">
        <v>5.9</v>
      </c>
      <c r="S196">
        <v>550.65290000000005</v>
      </c>
      <c r="T196">
        <v>6.4211</v>
      </c>
      <c r="U196">
        <v>551.69510000000002</v>
      </c>
    </row>
    <row r="198" spans="1:21">
      <c r="A198">
        <v>42340</v>
      </c>
    </row>
    <row r="199" spans="1:21">
      <c r="A199">
        <v>10</v>
      </c>
      <c r="B199">
        <v>0</v>
      </c>
      <c r="C199">
        <v>551.2604</v>
      </c>
      <c r="D199">
        <v>0</v>
      </c>
      <c r="E199">
        <v>551.2604</v>
      </c>
      <c r="F199">
        <v>-3.5</v>
      </c>
      <c r="G199">
        <v>551.19039999999995</v>
      </c>
      <c r="H199">
        <v>-4.25</v>
      </c>
      <c r="I199">
        <v>551.17539999999997</v>
      </c>
      <c r="J199">
        <v>-5</v>
      </c>
      <c r="K199">
        <v>551.15290000000005</v>
      </c>
      <c r="L199">
        <v>-5</v>
      </c>
      <c r="M199">
        <v>550.55290000000002</v>
      </c>
      <c r="N199">
        <v>-5.6</v>
      </c>
      <c r="O199">
        <v>550.55290000000002</v>
      </c>
      <c r="P199">
        <v>-5.6</v>
      </c>
      <c r="Q199">
        <v>551.15290000000005</v>
      </c>
      <c r="R199">
        <v>-5.9</v>
      </c>
      <c r="S199">
        <v>551.15290000000005</v>
      </c>
      <c r="T199">
        <v>-6.7187000000000001</v>
      </c>
      <c r="U199">
        <v>552.7903</v>
      </c>
    </row>
    <row r="200" spans="1:21">
      <c r="A200">
        <v>6</v>
      </c>
      <c r="B200">
        <v>0</v>
      </c>
      <c r="C200">
        <v>551.2604</v>
      </c>
      <c r="D200">
        <v>0</v>
      </c>
      <c r="E200">
        <v>551.2604</v>
      </c>
      <c r="F200">
        <v>3.5</v>
      </c>
      <c r="G200">
        <v>551.19039999999995</v>
      </c>
      <c r="H200">
        <v>4.25</v>
      </c>
      <c r="I200">
        <v>551.17539999999997</v>
      </c>
      <c r="J200">
        <v>5</v>
      </c>
      <c r="K200">
        <v>551.15290000000005</v>
      </c>
      <c r="L200">
        <v>6.2786</v>
      </c>
      <c r="M200">
        <v>550.30050000000006</v>
      </c>
    </row>
    <row r="202" spans="1:21">
      <c r="A202">
        <v>42360</v>
      </c>
    </row>
    <row r="203" spans="1:21">
      <c r="A203">
        <v>6</v>
      </c>
      <c r="B203">
        <v>0</v>
      </c>
      <c r="C203">
        <v>551.7604</v>
      </c>
      <c r="D203">
        <v>0</v>
      </c>
      <c r="E203">
        <v>551.7604</v>
      </c>
      <c r="F203">
        <v>-3.5</v>
      </c>
      <c r="G203">
        <v>551.69039999999995</v>
      </c>
      <c r="H203">
        <v>-4.25</v>
      </c>
      <c r="I203">
        <v>551.67539999999997</v>
      </c>
      <c r="J203">
        <v>-5</v>
      </c>
      <c r="K203">
        <v>551.65290000000005</v>
      </c>
      <c r="L203">
        <v>-10.4216</v>
      </c>
      <c r="M203">
        <v>548.0385</v>
      </c>
    </row>
    <row r="204" spans="1:21">
      <c r="A204">
        <v>6</v>
      </c>
      <c r="B204">
        <v>0</v>
      </c>
      <c r="C204">
        <v>551.7604</v>
      </c>
      <c r="D204">
        <v>0</v>
      </c>
      <c r="E204">
        <v>551.7604</v>
      </c>
      <c r="F204">
        <v>3.5</v>
      </c>
      <c r="G204">
        <v>551.69039999999995</v>
      </c>
      <c r="H204">
        <v>4.25</v>
      </c>
      <c r="I204">
        <v>551.67539999999997</v>
      </c>
      <c r="J204">
        <v>5</v>
      </c>
      <c r="K204">
        <v>551.65290000000005</v>
      </c>
      <c r="L204">
        <v>15.6463</v>
      </c>
      <c r="M204">
        <v>544.55529999999999</v>
      </c>
    </row>
    <row r="206" spans="1:21">
      <c r="A206">
        <v>42380</v>
      </c>
    </row>
    <row r="207" spans="1:21">
      <c r="A207">
        <v>7</v>
      </c>
      <c r="B207">
        <v>0</v>
      </c>
      <c r="C207">
        <v>552.2604</v>
      </c>
      <c r="D207">
        <v>0</v>
      </c>
      <c r="E207">
        <v>552.2604</v>
      </c>
      <c r="F207">
        <v>-3.5</v>
      </c>
      <c r="G207">
        <v>552.19039999999995</v>
      </c>
      <c r="H207">
        <v>-4.25</v>
      </c>
      <c r="I207">
        <v>552.17539999999997</v>
      </c>
      <c r="J207">
        <v>-5</v>
      </c>
      <c r="K207">
        <v>552.15290000000005</v>
      </c>
      <c r="L207">
        <v>-17</v>
      </c>
      <c r="M207">
        <v>544.15290000000005</v>
      </c>
      <c r="N207">
        <v>-17.630600000000001</v>
      </c>
      <c r="O207">
        <v>544.15290000000005</v>
      </c>
    </row>
    <row r="208" spans="1:21">
      <c r="A208">
        <v>8</v>
      </c>
      <c r="B208">
        <v>0</v>
      </c>
      <c r="C208">
        <v>552.2604</v>
      </c>
      <c r="D208">
        <v>0</v>
      </c>
      <c r="E208">
        <v>552.2604</v>
      </c>
      <c r="F208">
        <v>3.5</v>
      </c>
      <c r="G208">
        <v>552.19039999999995</v>
      </c>
      <c r="H208">
        <v>4.25</v>
      </c>
      <c r="I208">
        <v>552.17539999999997</v>
      </c>
      <c r="J208">
        <v>5</v>
      </c>
      <c r="K208">
        <v>552.15290000000005</v>
      </c>
      <c r="L208">
        <v>17</v>
      </c>
      <c r="M208">
        <v>544.15290000000005</v>
      </c>
      <c r="N208">
        <v>18.5</v>
      </c>
      <c r="O208">
        <v>544.15290000000005</v>
      </c>
      <c r="P208">
        <v>27.7883</v>
      </c>
      <c r="Q208">
        <v>538.84529999999995</v>
      </c>
    </row>
    <row r="210" spans="1:11">
      <c r="A210">
        <v>42400</v>
      </c>
    </row>
    <row r="211" spans="1:11">
      <c r="A211">
        <v>5</v>
      </c>
      <c r="B211">
        <v>0</v>
      </c>
      <c r="C211">
        <v>552.7604</v>
      </c>
      <c r="D211">
        <v>0</v>
      </c>
      <c r="E211">
        <v>552.7604</v>
      </c>
      <c r="F211">
        <v>-3.5</v>
      </c>
      <c r="G211">
        <v>552.69039999999995</v>
      </c>
      <c r="H211">
        <v>-4.25</v>
      </c>
      <c r="I211">
        <v>552.67539999999997</v>
      </c>
      <c r="J211">
        <v>-5</v>
      </c>
      <c r="K211">
        <v>552.65290000000005</v>
      </c>
    </row>
    <row r="212" spans="1:11">
      <c r="A212">
        <v>5</v>
      </c>
      <c r="B212">
        <v>0</v>
      </c>
      <c r="C212">
        <v>552.7604</v>
      </c>
      <c r="D212">
        <v>0</v>
      </c>
      <c r="E212">
        <v>552.7604</v>
      </c>
      <c r="F212">
        <v>3.5</v>
      </c>
      <c r="G212">
        <v>552.69039999999995</v>
      </c>
      <c r="H212">
        <v>4.25</v>
      </c>
      <c r="I212">
        <v>552.67539999999997</v>
      </c>
      <c r="J212">
        <v>5</v>
      </c>
      <c r="K212">
        <v>552.65290000000005</v>
      </c>
    </row>
    <row r="214" spans="1:11">
      <c r="A214">
        <v>42420</v>
      </c>
    </row>
    <row r="215" spans="1:11">
      <c r="A215">
        <v>5</v>
      </c>
      <c r="B215">
        <v>0</v>
      </c>
      <c r="C215">
        <v>553.2604</v>
      </c>
      <c r="D215">
        <v>0</v>
      </c>
      <c r="E215">
        <v>553.2604</v>
      </c>
      <c r="F215">
        <v>-3.5</v>
      </c>
      <c r="G215">
        <v>553.19039999999995</v>
      </c>
      <c r="H215">
        <v>-4.25</v>
      </c>
      <c r="I215">
        <v>553.17539999999997</v>
      </c>
      <c r="J215">
        <v>-5</v>
      </c>
      <c r="K215">
        <v>553.15290000000005</v>
      </c>
    </row>
    <row r="216" spans="1:11">
      <c r="A216">
        <v>5</v>
      </c>
      <c r="B216">
        <v>0</v>
      </c>
      <c r="C216">
        <v>553.2604</v>
      </c>
      <c r="D216">
        <v>0</v>
      </c>
      <c r="E216">
        <v>553.2604</v>
      </c>
      <c r="F216">
        <v>3.5</v>
      </c>
      <c r="G216">
        <v>553.19039999999995</v>
      </c>
      <c r="H216">
        <v>4.25</v>
      </c>
      <c r="I216">
        <v>553.17539999999997</v>
      </c>
      <c r="J216">
        <v>5</v>
      </c>
      <c r="K216">
        <v>553.15290000000005</v>
      </c>
    </row>
    <row r="218" spans="1:11">
      <c r="A218">
        <v>42440</v>
      </c>
    </row>
    <row r="219" spans="1:11">
      <c r="A219">
        <v>5</v>
      </c>
      <c r="B219">
        <v>0</v>
      </c>
      <c r="C219">
        <v>553.7604</v>
      </c>
      <c r="D219">
        <v>0</v>
      </c>
      <c r="E219">
        <v>553.7604</v>
      </c>
      <c r="F219">
        <v>-3.5</v>
      </c>
      <c r="G219">
        <v>553.69039999999995</v>
      </c>
      <c r="H219">
        <v>-4.25</v>
      </c>
      <c r="I219">
        <v>553.67539999999997</v>
      </c>
      <c r="J219">
        <v>-5</v>
      </c>
      <c r="K219">
        <v>553.65290000000005</v>
      </c>
    </row>
    <row r="220" spans="1:11">
      <c r="A220">
        <v>5</v>
      </c>
      <c r="B220">
        <v>0</v>
      </c>
      <c r="C220">
        <v>553.7604</v>
      </c>
      <c r="D220">
        <v>0</v>
      </c>
      <c r="E220">
        <v>553.7604</v>
      </c>
      <c r="F220">
        <v>3.5</v>
      </c>
      <c r="G220">
        <v>553.69039999999995</v>
      </c>
      <c r="H220">
        <v>4.25</v>
      </c>
      <c r="I220">
        <v>553.67539999999997</v>
      </c>
      <c r="J220">
        <v>5</v>
      </c>
      <c r="K220">
        <v>553.65290000000005</v>
      </c>
    </row>
    <row r="222" spans="1:11">
      <c r="A222">
        <v>42460</v>
      </c>
    </row>
    <row r="223" spans="1:11">
      <c r="A223">
        <v>5</v>
      </c>
      <c r="B223">
        <v>0</v>
      </c>
      <c r="C223">
        <v>554.2604</v>
      </c>
      <c r="D223">
        <v>0</v>
      </c>
      <c r="E223">
        <v>554.2604</v>
      </c>
      <c r="F223">
        <v>-3.5</v>
      </c>
      <c r="G223">
        <v>554.19039999999995</v>
      </c>
      <c r="H223">
        <v>-4.25</v>
      </c>
      <c r="I223">
        <v>554.17539999999997</v>
      </c>
      <c r="J223">
        <v>-5</v>
      </c>
      <c r="K223">
        <v>554.15290000000005</v>
      </c>
    </row>
    <row r="224" spans="1:11">
      <c r="A224">
        <v>5</v>
      </c>
      <c r="B224">
        <v>0</v>
      </c>
      <c r="C224">
        <v>554.2604</v>
      </c>
      <c r="D224">
        <v>0</v>
      </c>
      <c r="E224">
        <v>554.2604</v>
      </c>
      <c r="F224">
        <v>3.5</v>
      </c>
      <c r="G224">
        <v>554.19039999999995</v>
      </c>
      <c r="H224">
        <v>4.25</v>
      </c>
      <c r="I224">
        <v>554.17539999999997</v>
      </c>
      <c r="J224">
        <v>5</v>
      </c>
      <c r="K224">
        <v>554.15290000000005</v>
      </c>
    </row>
    <row r="226" spans="1:11">
      <c r="A226">
        <v>42480</v>
      </c>
    </row>
    <row r="227" spans="1:11">
      <c r="A227">
        <v>5</v>
      </c>
      <c r="B227">
        <v>0</v>
      </c>
      <c r="C227">
        <v>554.7604</v>
      </c>
      <c r="D227">
        <v>0</v>
      </c>
      <c r="E227">
        <v>554.7604</v>
      </c>
      <c r="F227">
        <v>-3.5</v>
      </c>
      <c r="G227">
        <v>554.69039999999995</v>
      </c>
      <c r="H227">
        <v>-4.25</v>
      </c>
      <c r="I227">
        <v>554.67539999999997</v>
      </c>
      <c r="J227">
        <v>-5</v>
      </c>
      <c r="K227">
        <v>554.65290000000005</v>
      </c>
    </row>
    <row r="228" spans="1:11">
      <c r="A228">
        <v>5</v>
      </c>
      <c r="B228">
        <v>0</v>
      </c>
      <c r="C228">
        <v>554.7604</v>
      </c>
      <c r="D228">
        <v>0</v>
      </c>
      <c r="E228">
        <v>554.7604</v>
      </c>
      <c r="F228">
        <v>3.5</v>
      </c>
      <c r="G228">
        <v>554.69039999999995</v>
      </c>
      <c r="H228">
        <v>4.25</v>
      </c>
      <c r="I228">
        <v>554.67539999999997</v>
      </c>
      <c r="J228">
        <v>5</v>
      </c>
      <c r="K228">
        <v>554.65290000000005</v>
      </c>
    </row>
    <row r="230" spans="1:11">
      <c r="A230">
        <v>42500</v>
      </c>
    </row>
    <row r="231" spans="1:11">
      <c r="A231">
        <v>5</v>
      </c>
      <c r="B231">
        <v>0</v>
      </c>
      <c r="C231">
        <v>555.2604</v>
      </c>
      <c r="D231">
        <v>0</v>
      </c>
      <c r="E231">
        <v>555.2604</v>
      </c>
      <c r="F231">
        <v>-3.5</v>
      </c>
      <c r="G231">
        <v>555.19039999999995</v>
      </c>
      <c r="H231">
        <v>-4.25</v>
      </c>
      <c r="I231">
        <v>555.17539999999997</v>
      </c>
      <c r="J231">
        <v>-5</v>
      </c>
      <c r="K231">
        <v>555.15290000000005</v>
      </c>
    </row>
    <row r="232" spans="1:11">
      <c r="A232">
        <v>5</v>
      </c>
      <c r="B232">
        <v>0</v>
      </c>
      <c r="C232">
        <v>555.2604</v>
      </c>
      <c r="D232">
        <v>0</v>
      </c>
      <c r="E232">
        <v>555.2604</v>
      </c>
      <c r="F232">
        <v>3.5</v>
      </c>
      <c r="G232">
        <v>555.19039999999995</v>
      </c>
      <c r="H232">
        <v>4.25</v>
      </c>
      <c r="I232">
        <v>555.17539999999997</v>
      </c>
      <c r="J232">
        <v>5</v>
      </c>
      <c r="K232">
        <v>555.15290000000005</v>
      </c>
    </row>
    <row r="234" spans="1:11">
      <c r="A234">
        <v>42520</v>
      </c>
    </row>
    <row r="235" spans="1:11">
      <c r="A235">
        <v>5</v>
      </c>
      <c r="B235">
        <v>0</v>
      </c>
      <c r="C235">
        <v>555.7604</v>
      </c>
      <c r="D235">
        <v>0</v>
      </c>
      <c r="E235">
        <v>555.7604</v>
      </c>
      <c r="F235">
        <v>-3.5</v>
      </c>
      <c r="G235">
        <v>555.69039999999995</v>
      </c>
      <c r="H235">
        <v>-4.25</v>
      </c>
      <c r="I235">
        <v>555.67539999999997</v>
      </c>
      <c r="J235">
        <v>-5</v>
      </c>
      <c r="K235">
        <v>555.65290000000005</v>
      </c>
    </row>
    <row r="236" spans="1:11">
      <c r="A236">
        <v>5</v>
      </c>
      <c r="B236">
        <v>0</v>
      </c>
      <c r="C236">
        <v>555.7604</v>
      </c>
      <c r="D236">
        <v>0</v>
      </c>
      <c r="E236">
        <v>555.7604</v>
      </c>
      <c r="F236">
        <v>3.5</v>
      </c>
      <c r="G236">
        <v>555.69039999999995</v>
      </c>
      <c r="H236">
        <v>4.25</v>
      </c>
      <c r="I236">
        <v>555.67539999999997</v>
      </c>
      <c r="J236">
        <v>5</v>
      </c>
      <c r="K236">
        <v>555.65290000000005</v>
      </c>
    </row>
    <row r="238" spans="1:11">
      <c r="A238">
        <v>42540</v>
      </c>
    </row>
    <row r="239" spans="1:11">
      <c r="A239">
        <v>5</v>
      </c>
      <c r="B239">
        <v>0</v>
      </c>
      <c r="C239">
        <v>556.2604</v>
      </c>
      <c r="D239">
        <v>0</v>
      </c>
      <c r="E239">
        <v>556.2604</v>
      </c>
      <c r="F239">
        <v>-3.5</v>
      </c>
      <c r="G239">
        <v>556.19039999999995</v>
      </c>
      <c r="H239">
        <v>-4.25</v>
      </c>
      <c r="I239">
        <v>556.17539999999997</v>
      </c>
      <c r="J239">
        <v>-5</v>
      </c>
      <c r="K239">
        <v>556.15290000000005</v>
      </c>
    </row>
    <row r="240" spans="1:11">
      <c r="A240">
        <v>5</v>
      </c>
      <c r="B240">
        <v>0</v>
      </c>
      <c r="C240">
        <v>556.2604</v>
      </c>
      <c r="D240">
        <v>0</v>
      </c>
      <c r="E240">
        <v>556.2604</v>
      </c>
      <c r="F240">
        <v>3.5</v>
      </c>
      <c r="G240">
        <v>556.19039999999995</v>
      </c>
      <c r="H240">
        <v>4.25</v>
      </c>
      <c r="I240">
        <v>556.17539999999997</v>
      </c>
      <c r="J240">
        <v>5</v>
      </c>
      <c r="K240">
        <v>556.15290000000005</v>
      </c>
    </row>
    <row r="242" spans="1:11">
      <c r="A242">
        <v>42560</v>
      </c>
    </row>
    <row r="243" spans="1:11">
      <c r="A243">
        <v>5</v>
      </c>
      <c r="B243">
        <v>0</v>
      </c>
      <c r="C243">
        <v>556.7604</v>
      </c>
      <c r="D243">
        <v>0</v>
      </c>
      <c r="E243">
        <v>556.7604</v>
      </c>
      <c r="F243">
        <v>-3.5</v>
      </c>
      <c r="G243">
        <v>556.69039999999995</v>
      </c>
      <c r="H243">
        <v>-4.25</v>
      </c>
      <c r="I243">
        <v>556.67539999999997</v>
      </c>
      <c r="J243">
        <v>-5</v>
      </c>
      <c r="K243">
        <v>556.65290000000005</v>
      </c>
    </row>
    <row r="244" spans="1:11">
      <c r="A244">
        <v>5</v>
      </c>
      <c r="B244">
        <v>0</v>
      </c>
      <c r="C244">
        <v>556.7604</v>
      </c>
      <c r="D244">
        <v>0</v>
      </c>
      <c r="E244">
        <v>556.7604</v>
      </c>
      <c r="F244">
        <v>3.5</v>
      </c>
      <c r="G244">
        <v>556.69039999999995</v>
      </c>
      <c r="H244">
        <v>4.25</v>
      </c>
      <c r="I244">
        <v>556.67539999999997</v>
      </c>
      <c r="J244">
        <v>5</v>
      </c>
      <c r="K244">
        <v>556.65290000000005</v>
      </c>
    </row>
    <row r="246" spans="1:11">
      <c r="A246">
        <v>42580</v>
      </c>
    </row>
    <row r="247" spans="1:11">
      <c r="A247">
        <v>5</v>
      </c>
      <c r="B247">
        <v>0</v>
      </c>
      <c r="C247">
        <v>557.2604</v>
      </c>
      <c r="D247">
        <v>0</v>
      </c>
      <c r="E247">
        <v>557.2604</v>
      </c>
      <c r="F247">
        <v>-3.5</v>
      </c>
      <c r="G247">
        <v>557.19039999999995</v>
      </c>
      <c r="H247">
        <v>-4.25</v>
      </c>
      <c r="I247">
        <v>557.17539999999997</v>
      </c>
      <c r="J247">
        <v>-5</v>
      </c>
      <c r="K247">
        <v>557.15290000000005</v>
      </c>
    </row>
    <row r="248" spans="1:11">
      <c r="A248">
        <v>5</v>
      </c>
      <c r="B248">
        <v>0</v>
      </c>
      <c r="C248">
        <v>557.2604</v>
      </c>
      <c r="D248">
        <v>0</v>
      </c>
      <c r="E248">
        <v>557.2604</v>
      </c>
      <c r="F248">
        <v>3.5</v>
      </c>
      <c r="G248">
        <v>557.19039999999995</v>
      </c>
      <c r="H248">
        <v>4.25</v>
      </c>
      <c r="I248">
        <v>557.17539999999997</v>
      </c>
      <c r="J248">
        <v>5</v>
      </c>
      <c r="K248">
        <v>557.15290000000005</v>
      </c>
    </row>
    <row r="250" spans="1:11">
      <c r="A250">
        <v>42600</v>
      </c>
    </row>
    <row r="251" spans="1:11">
      <c r="A251">
        <v>5</v>
      </c>
      <c r="B251">
        <v>0</v>
      </c>
      <c r="C251">
        <v>557.7604</v>
      </c>
      <c r="D251">
        <v>0</v>
      </c>
      <c r="E251">
        <v>557.7604</v>
      </c>
      <c r="F251">
        <v>-3.5</v>
      </c>
      <c r="G251">
        <v>557.69039999999995</v>
      </c>
      <c r="H251">
        <v>-4.25</v>
      </c>
      <c r="I251">
        <v>557.67539999999997</v>
      </c>
      <c r="J251">
        <v>-5</v>
      </c>
      <c r="K251">
        <v>557.65290000000005</v>
      </c>
    </row>
    <row r="252" spans="1:11">
      <c r="A252">
        <v>5</v>
      </c>
      <c r="B252">
        <v>0</v>
      </c>
      <c r="C252">
        <v>557.7604</v>
      </c>
      <c r="D252">
        <v>0</v>
      </c>
      <c r="E252">
        <v>557.7604</v>
      </c>
      <c r="F252">
        <v>3.5</v>
      </c>
      <c r="G252">
        <v>557.69039999999995</v>
      </c>
      <c r="H252">
        <v>4.25</v>
      </c>
      <c r="I252">
        <v>557.67539999999997</v>
      </c>
      <c r="J252">
        <v>5</v>
      </c>
      <c r="K252">
        <v>557.65290000000005</v>
      </c>
    </row>
    <row r="254" spans="1:11">
      <c r="A254">
        <v>42620</v>
      </c>
    </row>
    <row r="255" spans="1:11">
      <c r="A255">
        <v>5</v>
      </c>
      <c r="B255">
        <v>0</v>
      </c>
      <c r="C255">
        <v>558.2604</v>
      </c>
      <c r="D255">
        <v>0</v>
      </c>
      <c r="E255">
        <v>558.2604</v>
      </c>
      <c r="F255">
        <v>-3.5</v>
      </c>
      <c r="G255">
        <v>558.19039999999995</v>
      </c>
      <c r="H255">
        <v>-4.25</v>
      </c>
      <c r="I255">
        <v>558.17539999999997</v>
      </c>
      <c r="J255">
        <v>-5</v>
      </c>
      <c r="K255">
        <v>558.15290000000005</v>
      </c>
    </row>
    <row r="256" spans="1:11">
      <c r="A256">
        <v>5</v>
      </c>
      <c r="B256">
        <v>0</v>
      </c>
      <c r="C256">
        <v>558.2604</v>
      </c>
      <c r="D256">
        <v>0</v>
      </c>
      <c r="E256">
        <v>558.2604</v>
      </c>
      <c r="F256">
        <v>3.5</v>
      </c>
      <c r="G256">
        <v>558.19039999999995</v>
      </c>
      <c r="H256">
        <v>4.25</v>
      </c>
      <c r="I256">
        <v>558.17539999999997</v>
      </c>
      <c r="J256">
        <v>5</v>
      </c>
      <c r="K256">
        <v>558.15290000000005</v>
      </c>
    </row>
    <row r="258" spans="1:13">
      <c r="A258">
        <v>42640</v>
      </c>
    </row>
    <row r="259" spans="1:13">
      <c r="A259">
        <v>5</v>
      </c>
      <c r="B259">
        <v>0</v>
      </c>
      <c r="C259">
        <v>558.7604</v>
      </c>
      <c r="D259">
        <v>0</v>
      </c>
      <c r="E259">
        <v>558.7604</v>
      </c>
      <c r="F259">
        <v>-3.5</v>
      </c>
      <c r="G259">
        <v>558.69039999999995</v>
      </c>
      <c r="H259">
        <v>-4.25</v>
      </c>
      <c r="I259">
        <v>558.67539999999997</v>
      </c>
      <c r="J259">
        <v>-5</v>
      </c>
      <c r="K259">
        <v>558.65290000000005</v>
      </c>
    </row>
    <row r="260" spans="1:13">
      <c r="A260">
        <v>5</v>
      </c>
      <c r="B260">
        <v>0</v>
      </c>
      <c r="C260">
        <v>558.7604</v>
      </c>
      <c r="D260">
        <v>0</v>
      </c>
      <c r="E260">
        <v>558.7604</v>
      </c>
      <c r="F260">
        <v>3.5</v>
      </c>
      <c r="G260">
        <v>558.69039999999995</v>
      </c>
      <c r="H260">
        <v>4.25</v>
      </c>
      <c r="I260">
        <v>558.67539999999997</v>
      </c>
      <c r="J260">
        <v>5</v>
      </c>
      <c r="K260">
        <v>558.65290000000005</v>
      </c>
    </row>
    <row r="262" spans="1:13">
      <c r="A262">
        <v>42660</v>
      </c>
    </row>
    <row r="263" spans="1:13">
      <c r="A263">
        <v>5</v>
      </c>
      <c r="B263">
        <v>0</v>
      </c>
      <c r="C263">
        <v>559.2604</v>
      </c>
      <c r="D263">
        <v>0</v>
      </c>
      <c r="E263">
        <v>559.2604</v>
      </c>
      <c r="F263">
        <v>-3.5</v>
      </c>
      <c r="G263">
        <v>559.19039999999995</v>
      </c>
      <c r="H263">
        <v>-4.25</v>
      </c>
      <c r="I263">
        <v>559.17539999999997</v>
      </c>
      <c r="J263">
        <v>-5</v>
      </c>
      <c r="K263">
        <v>559.15290000000005</v>
      </c>
    </row>
    <row r="264" spans="1:13">
      <c r="A264">
        <v>5</v>
      </c>
      <c r="B264">
        <v>0</v>
      </c>
      <c r="C264">
        <v>559.2604</v>
      </c>
      <c r="D264">
        <v>0</v>
      </c>
      <c r="E264">
        <v>559.2604</v>
      </c>
      <c r="F264">
        <v>3.5</v>
      </c>
      <c r="G264">
        <v>559.19039999999995</v>
      </c>
      <c r="H264">
        <v>4.25</v>
      </c>
      <c r="I264">
        <v>559.17539999999997</v>
      </c>
      <c r="J264">
        <v>5</v>
      </c>
      <c r="K264">
        <v>559.15290000000005</v>
      </c>
    </row>
    <row r="266" spans="1:13">
      <c r="A266">
        <v>42680</v>
      </c>
    </row>
    <row r="267" spans="1:13">
      <c r="A267">
        <v>5</v>
      </c>
      <c r="B267">
        <v>0</v>
      </c>
      <c r="C267">
        <v>559.7604</v>
      </c>
      <c r="D267">
        <v>0</v>
      </c>
      <c r="E267">
        <v>559.7604</v>
      </c>
      <c r="F267">
        <v>-3.5</v>
      </c>
      <c r="G267">
        <v>559.69039999999995</v>
      </c>
      <c r="H267">
        <v>-4.25</v>
      </c>
      <c r="I267">
        <v>559.67539999999997</v>
      </c>
      <c r="J267">
        <v>-5</v>
      </c>
      <c r="K267">
        <v>559.65290000000005</v>
      </c>
    </row>
    <row r="268" spans="1:13">
      <c r="A268">
        <v>5</v>
      </c>
      <c r="B268">
        <v>0</v>
      </c>
      <c r="C268">
        <v>559.7604</v>
      </c>
      <c r="D268">
        <v>0</v>
      </c>
      <c r="E268">
        <v>559.7604</v>
      </c>
      <c r="F268">
        <v>3.5</v>
      </c>
      <c r="G268">
        <v>559.69039999999995</v>
      </c>
      <c r="H268">
        <v>4.25</v>
      </c>
      <c r="I268">
        <v>559.67539999999997</v>
      </c>
      <c r="J268">
        <v>5</v>
      </c>
      <c r="K268">
        <v>559.65290000000005</v>
      </c>
    </row>
    <row r="270" spans="1:13">
      <c r="A270">
        <v>42700</v>
      </c>
    </row>
    <row r="271" spans="1:13">
      <c r="A271">
        <v>6</v>
      </c>
      <c r="B271">
        <v>0</v>
      </c>
      <c r="C271">
        <v>560.2604</v>
      </c>
      <c r="D271">
        <v>0</v>
      </c>
      <c r="E271">
        <v>560.2604</v>
      </c>
      <c r="F271">
        <v>-3.5</v>
      </c>
      <c r="G271">
        <v>560.19039999999995</v>
      </c>
      <c r="H271">
        <v>-4.25</v>
      </c>
      <c r="I271">
        <v>560.17539999999997</v>
      </c>
      <c r="J271">
        <v>-5</v>
      </c>
      <c r="K271">
        <v>560.15290000000005</v>
      </c>
      <c r="L271">
        <v>-5.2294</v>
      </c>
      <c r="M271">
        <v>560</v>
      </c>
    </row>
    <row r="272" spans="1:13">
      <c r="A272">
        <v>6</v>
      </c>
      <c r="B272">
        <v>0</v>
      </c>
      <c r="C272">
        <v>560.2604</v>
      </c>
      <c r="D272">
        <v>0</v>
      </c>
      <c r="E272">
        <v>560.2604</v>
      </c>
      <c r="F272">
        <v>3.5</v>
      </c>
      <c r="G272">
        <v>560.19039999999995</v>
      </c>
      <c r="H272">
        <v>4.25</v>
      </c>
      <c r="I272">
        <v>560.17539999999997</v>
      </c>
      <c r="J272">
        <v>5</v>
      </c>
      <c r="K272">
        <v>560.15290000000005</v>
      </c>
      <c r="L272">
        <v>5.2294</v>
      </c>
      <c r="M272">
        <v>560</v>
      </c>
    </row>
    <row r="274" spans="1:13">
      <c r="A274">
        <v>42720</v>
      </c>
    </row>
    <row r="275" spans="1:13">
      <c r="A275">
        <v>6</v>
      </c>
      <c r="B275">
        <v>0</v>
      </c>
      <c r="C275">
        <v>560.7604</v>
      </c>
      <c r="D275">
        <v>0</v>
      </c>
      <c r="E275">
        <v>560.7604</v>
      </c>
      <c r="F275">
        <v>-3.5</v>
      </c>
      <c r="G275">
        <v>560.69039999999995</v>
      </c>
      <c r="H275">
        <v>-4.25</v>
      </c>
      <c r="I275">
        <v>560.67539999999997</v>
      </c>
      <c r="J275">
        <v>-5</v>
      </c>
      <c r="K275">
        <v>560.65290000000005</v>
      </c>
      <c r="L275">
        <v>-5.9794</v>
      </c>
      <c r="M275">
        <v>560</v>
      </c>
    </row>
    <row r="276" spans="1:13">
      <c r="A276">
        <v>6</v>
      </c>
      <c r="B276">
        <v>0</v>
      </c>
      <c r="C276">
        <v>560.7604</v>
      </c>
      <c r="D276">
        <v>0</v>
      </c>
      <c r="E276">
        <v>560.7604</v>
      </c>
      <c r="F276">
        <v>3.5</v>
      </c>
      <c r="G276">
        <v>560.69039999999995</v>
      </c>
      <c r="H276">
        <v>4.25</v>
      </c>
      <c r="I276">
        <v>560.67539999999997</v>
      </c>
      <c r="J276">
        <v>5</v>
      </c>
      <c r="K276">
        <v>560.65290000000005</v>
      </c>
      <c r="L276">
        <v>5.9794</v>
      </c>
      <c r="M276">
        <v>560</v>
      </c>
    </row>
    <row r="278" spans="1:13">
      <c r="A278">
        <v>42740</v>
      </c>
    </row>
    <row r="279" spans="1:13">
      <c r="A279">
        <v>6</v>
      </c>
      <c r="B279">
        <v>0</v>
      </c>
      <c r="C279">
        <v>561.2604</v>
      </c>
      <c r="D279">
        <v>0</v>
      </c>
      <c r="E279">
        <v>561.2604</v>
      </c>
      <c r="F279">
        <v>-3.5</v>
      </c>
      <c r="G279">
        <v>561.19039999999995</v>
      </c>
      <c r="H279">
        <v>-4.25</v>
      </c>
      <c r="I279">
        <v>561.17539999999997</v>
      </c>
      <c r="J279">
        <v>-5</v>
      </c>
      <c r="K279">
        <v>561.15290000000005</v>
      </c>
      <c r="L279">
        <v>-6.7294</v>
      </c>
      <c r="M279">
        <v>560</v>
      </c>
    </row>
    <row r="280" spans="1:13">
      <c r="A280">
        <v>6</v>
      </c>
      <c r="B280">
        <v>0</v>
      </c>
      <c r="C280">
        <v>561.2604</v>
      </c>
      <c r="D280">
        <v>0</v>
      </c>
      <c r="E280">
        <v>561.2604</v>
      </c>
      <c r="F280">
        <v>3.5</v>
      </c>
      <c r="G280">
        <v>561.19039999999995</v>
      </c>
      <c r="H280">
        <v>4.25</v>
      </c>
      <c r="I280">
        <v>561.17539999999997</v>
      </c>
      <c r="J280">
        <v>5</v>
      </c>
      <c r="K280">
        <v>561.15290000000005</v>
      </c>
      <c r="L280">
        <v>6.7294</v>
      </c>
      <c r="M280">
        <v>560</v>
      </c>
    </row>
    <row r="282" spans="1:13">
      <c r="A282">
        <v>42754.718999999997</v>
      </c>
    </row>
    <row r="283" spans="1:13">
      <c r="A283">
        <v>6</v>
      </c>
      <c r="B283">
        <v>0</v>
      </c>
      <c r="C283">
        <v>561.62840000000006</v>
      </c>
      <c r="D283">
        <v>0</v>
      </c>
      <c r="E283">
        <v>561.62840000000006</v>
      </c>
      <c r="F283">
        <v>-3.5</v>
      </c>
      <c r="G283">
        <v>561.55840000000001</v>
      </c>
      <c r="H283">
        <v>-4.25</v>
      </c>
      <c r="I283">
        <v>561.54340000000002</v>
      </c>
      <c r="J283">
        <v>-5</v>
      </c>
      <c r="K283">
        <v>561.52089999999998</v>
      </c>
      <c r="L283">
        <v>-7.2812999999999999</v>
      </c>
      <c r="M283">
        <v>560</v>
      </c>
    </row>
    <row r="284" spans="1:13">
      <c r="A284">
        <v>6</v>
      </c>
      <c r="B284">
        <v>0</v>
      </c>
      <c r="C284">
        <v>561.62840000000006</v>
      </c>
      <c r="D284">
        <v>0</v>
      </c>
      <c r="E284">
        <v>561.62840000000006</v>
      </c>
      <c r="F284">
        <v>3.5</v>
      </c>
      <c r="G284">
        <v>561.55840000000001</v>
      </c>
      <c r="H284">
        <v>4.25</v>
      </c>
      <c r="I284">
        <v>561.54340000000002</v>
      </c>
      <c r="J284">
        <v>5</v>
      </c>
      <c r="K284">
        <v>561.52840000000003</v>
      </c>
      <c r="L284">
        <v>7.2926000000000002</v>
      </c>
      <c r="M284">
        <v>560</v>
      </c>
    </row>
    <row r="286" spans="1:13">
      <c r="A286">
        <v>42760</v>
      </c>
    </row>
    <row r="287" spans="1:13">
      <c r="A287">
        <v>6</v>
      </c>
      <c r="B287">
        <v>0</v>
      </c>
      <c r="C287">
        <v>561.7604</v>
      </c>
      <c r="D287">
        <v>0</v>
      </c>
      <c r="E287">
        <v>561.7604</v>
      </c>
      <c r="F287">
        <v>-3.5</v>
      </c>
      <c r="G287">
        <v>561.72209999999995</v>
      </c>
      <c r="H287">
        <v>-4.25</v>
      </c>
      <c r="I287">
        <v>561.71389999999997</v>
      </c>
      <c r="J287">
        <v>-5</v>
      </c>
      <c r="K287">
        <v>561.69140000000004</v>
      </c>
      <c r="L287">
        <v>-7.5370999999999997</v>
      </c>
      <c r="M287">
        <v>560</v>
      </c>
    </row>
    <row r="288" spans="1:13">
      <c r="A288">
        <v>6</v>
      </c>
      <c r="B288">
        <v>0</v>
      </c>
      <c r="C288">
        <v>561.7604</v>
      </c>
      <c r="D288">
        <v>0</v>
      </c>
      <c r="E288">
        <v>561.7604</v>
      </c>
      <c r="F288">
        <v>3.5</v>
      </c>
      <c r="G288">
        <v>561.69039999999995</v>
      </c>
      <c r="H288">
        <v>4.25</v>
      </c>
      <c r="I288">
        <v>561.67539999999997</v>
      </c>
      <c r="J288">
        <v>5</v>
      </c>
      <c r="K288">
        <v>561.66039999999998</v>
      </c>
      <c r="L288">
        <v>7.4905999999999997</v>
      </c>
      <c r="M288">
        <v>560</v>
      </c>
    </row>
    <row r="290" spans="1:21">
      <c r="A290">
        <v>42780</v>
      </c>
    </row>
    <row r="291" spans="1:21">
      <c r="A291">
        <v>10</v>
      </c>
      <c r="B291">
        <v>0</v>
      </c>
      <c r="C291">
        <v>562.32219999999995</v>
      </c>
      <c r="D291">
        <v>0</v>
      </c>
      <c r="E291">
        <v>562.32219999999995</v>
      </c>
      <c r="F291">
        <v>-3.5</v>
      </c>
      <c r="G291">
        <v>562.40390000000002</v>
      </c>
      <c r="H291">
        <v>-4.25</v>
      </c>
      <c r="I291">
        <v>562.42139999999995</v>
      </c>
      <c r="J291">
        <v>-5</v>
      </c>
      <c r="K291">
        <v>562.39890000000003</v>
      </c>
      <c r="L291">
        <v>-5</v>
      </c>
      <c r="M291">
        <v>561.7989</v>
      </c>
      <c r="N291">
        <v>-5.6</v>
      </c>
      <c r="O291">
        <v>561.7989</v>
      </c>
      <c r="P291">
        <v>-5.6</v>
      </c>
      <c r="Q291">
        <v>562.39890000000003</v>
      </c>
      <c r="R291">
        <v>-5.9</v>
      </c>
      <c r="S291">
        <v>562.39890000000003</v>
      </c>
      <c r="T291">
        <v>-7.3249000000000004</v>
      </c>
      <c r="U291">
        <v>565.24869999999999</v>
      </c>
    </row>
    <row r="292" spans="1:21">
      <c r="A292">
        <v>10</v>
      </c>
      <c r="B292">
        <v>0</v>
      </c>
      <c r="C292">
        <v>562.32219999999995</v>
      </c>
      <c r="D292">
        <v>0</v>
      </c>
      <c r="E292">
        <v>562.32219999999995</v>
      </c>
      <c r="F292">
        <v>3.5</v>
      </c>
      <c r="G292">
        <v>562.2405</v>
      </c>
      <c r="H292">
        <v>4.25</v>
      </c>
      <c r="I292">
        <v>562.22299999999996</v>
      </c>
      <c r="J292">
        <v>5</v>
      </c>
      <c r="K292">
        <v>562.20550000000003</v>
      </c>
      <c r="L292">
        <v>5</v>
      </c>
      <c r="M292">
        <v>561.60550000000001</v>
      </c>
      <c r="N292">
        <v>5.6</v>
      </c>
      <c r="O292">
        <v>561.60550000000001</v>
      </c>
      <c r="P292">
        <v>5.6</v>
      </c>
      <c r="Q292">
        <v>562.20550000000003</v>
      </c>
      <c r="R292">
        <v>5.9</v>
      </c>
      <c r="S292">
        <v>562.20550000000003</v>
      </c>
      <c r="T292">
        <v>7.8990999999999998</v>
      </c>
      <c r="U292">
        <v>566.20360000000005</v>
      </c>
    </row>
    <row r="294" spans="1:21">
      <c r="A294">
        <v>42789.718999999997</v>
      </c>
    </row>
    <row r="295" spans="1:21">
      <c r="A295">
        <v>10</v>
      </c>
      <c r="B295">
        <v>0</v>
      </c>
      <c r="C295">
        <v>562.6404</v>
      </c>
      <c r="D295">
        <v>0</v>
      </c>
      <c r="E295">
        <v>562.6404</v>
      </c>
      <c r="F295">
        <v>-3.5</v>
      </c>
      <c r="G295">
        <v>562.78039999999999</v>
      </c>
      <c r="H295">
        <v>-4.25</v>
      </c>
      <c r="I295">
        <v>562.81039999999996</v>
      </c>
      <c r="J295">
        <v>-5</v>
      </c>
      <c r="K295">
        <v>562.78790000000004</v>
      </c>
      <c r="L295">
        <v>-5</v>
      </c>
      <c r="M295">
        <v>562.18790000000001</v>
      </c>
      <c r="N295">
        <v>-5.6</v>
      </c>
      <c r="O295">
        <v>562.18790000000001</v>
      </c>
      <c r="P295">
        <v>-5.6</v>
      </c>
      <c r="Q295">
        <v>562.78790000000004</v>
      </c>
      <c r="R295">
        <v>-5.9</v>
      </c>
      <c r="S295">
        <v>562.78790000000004</v>
      </c>
      <c r="T295">
        <v>-9.2340999999999998</v>
      </c>
      <c r="U295">
        <v>569.45609999999999</v>
      </c>
    </row>
    <row r="296" spans="1:21">
      <c r="A296">
        <v>10</v>
      </c>
      <c r="B296">
        <v>0</v>
      </c>
      <c r="C296">
        <v>562.6404</v>
      </c>
      <c r="D296">
        <v>0</v>
      </c>
      <c r="E296">
        <v>562.6404</v>
      </c>
      <c r="F296">
        <v>3.5</v>
      </c>
      <c r="G296">
        <v>562.50040000000001</v>
      </c>
      <c r="H296">
        <v>4.25</v>
      </c>
      <c r="I296">
        <v>562.47040000000004</v>
      </c>
      <c r="J296">
        <v>5</v>
      </c>
      <c r="K296">
        <v>562.44039999999995</v>
      </c>
      <c r="L296">
        <v>5</v>
      </c>
      <c r="M296">
        <v>561.84040000000005</v>
      </c>
      <c r="N296">
        <v>5.6</v>
      </c>
      <c r="O296">
        <v>561.84040000000005</v>
      </c>
      <c r="P296">
        <v>5.6</v>
      </c>
      <c r="Q296">
        <v>562.44039999999995</v>
      </c>
      <c r="R296">
        <v>5.9</v>
      </c>
      <c r="S296">
        <v>562.44039999999995</v>
      </c>
      <c r="T296">
        <v>9.6798000000000002</v>
      </c>
      <c r="U296">
        <v>570</v>
      </c>
    </row>
    <row r="298" spans="1:21">
      <c r="A298">
        <v>42800</v>
      </c>
    </row>
    <row r="299" spans="1:21">
      <c r="A299">
        <v>10</v>
      </c>
      <c r="B299">
        <v>0</v>
      </c>
      <c r="C299">
        <v>563.00900000000001</v>
      </c>
      <c r="D299">
        <v>0</v>
      </c>
      <c r="E299">
        <v>563.00900000000001</v>
      </c>
      <c r="F299">
        <v>-3.5</v>
      </c>
      <c r="G299">
        <v>563.149</v>
      </c>
      <c r="H299">
        <v>-4.25</v>
      </c>
      <c r="I299">
        <v>563.17899999999997</v>
      </c>
      <c r="J299">
        <v>-5</v>
      </c>
      <c r="K299">
        <v>563.15650000000005</v>
      </c>
      <c r="L299">
        <v>-5</v>
      </c>
      <c r="M299">
        <v>562.55650000000003</v>
      </c>
      <c r="N299">
        <v>-5.6</v>
      </c>
      <c r="O299">
        <v>562.55650000000003</v>
      </c>
      <c r="P299">
        <v>-5.6</v>
      </c>
      <c r="Q299">
        <v>563.15650000000005</v>
      </c>
      <c r="R299">
        <v>-5.9</v>
      </c>
      <c r="S299">
        <v>563.15650000000005</v>
      </c>
      <c r="T299">
        <v>-9.3216999999999999</v>
      </c>
      <c r="U299">
        <v>570</v>
      </c>
    </row>
    <row r="300" spans="1:21">
      <c r="A300">
        <v>10</v>
      </c>
      <c r="B300">
        <v>0</v>
      </c>
      <c r="C300">
        <v>563.00900000000001</v>
      </c>
      <c r="D300">
        <v>0</v>
      </c>
      <c r="E300">
        <v>563.00900000000001</v>
      </c>
      <c r="F300">
        <v>3.5</v>
      </c>
      <c r="G300">
        <v>562.86900000000003</v>
      </c>
      <c r="H300">
        <v>4.25</v>
      </c>
      <c r="I300">
        <v>562.83900000000006</v>
      </c>
      <c r="J300">
        <v>5</v>
      </c>
      <c r="K300">
        <v>562.80899999999997</v>
      </c>
      <c r="L300">
        <v>5</v>
      </c>
      <c r="M300">
        <v>562.20899999999995</v>
      </c>
      <c r="N300">
        <v>5.6</v>
      </c>
      <c r="O300">
        <v>562.20899999999995</v>
      </c>
      <c r="P300">
        <v>5.6</v>
      </c>
      <c r="Q300">
        <v>562.80899999999997</v>
      </c>
      <c r="R300">
        <v>5.9</v>
      </c>
      <c r="S300">
        <v>562.80899999999997</v>
      </c>
      <c r="T300">
        <v>9.4954999999999998</v>
      </c>
      <c r="U300">
        <v>570</v>
      </c>
    </row>
    <row r="302" spans="1:21">
      <c r="A302">
        <v>42820</v>
      </c>
    </row>
    <row r="303" spans="1:21">
      <c r="A303">
        <v>10</v>
      </c>
      <c r="B303">
        <v>0</v>
      </c>
      <c r="C303">
        <v>563.82079999999996</v>
      </c>
      <c r="D303">
        <v>0</v>
      </c>
      <c r="E303">
        <v>563.82079999999996</v>
      </c>
      <c r="F303">
        <v>-3.5</v>
      </c>
      <c r="G303">
        <v>563.96079999999995</v>
      </c>
      <c r="H303">
        <v>-4.25</v>
      </c>
      <c r="I303">
        <v>563.99080000000004</v>
      </c>
      <c r="J303">
        <v>-5</v>
      </c>
      <c r="K303">
        <v>563.9683</v>
      </c>
      <c r="L303">
        <v>-5</v>
      </c>
      <c r="M303">
        <v>563.36829999999998</v>
      </c>
      <c r="N303">
        <v>-5.6</v>
      </c>
      <c r="O303">
        <v>563.36829999999998</v>
      </c>
      <c r="P303">
        <v>-5.6</v>
      </c>
      <c r="Q303">
        <v>563.9683</v>
      </c>
      <c r="R303">
        <v>-5.9</v>
      </c>
      <c r="S303">
        <v>563.9683</v>
      </c>
      <c r="T303">
        <v>-8.9158000000000008</v>
      </c>
      <c r="U303">
        <v>570</v>
      </c>
    </row>
    <row r="304" spans="1:21">
      <c r="A304">
        <v>10</v>
      </c>
      <c r="B304">
        <v>0</v>
      </c>
      <c r="C304">
        <v>563.82079999999996</v>
      </c>
      <c r="D304">
        <v>0</v>
      </c>
      <c r="E304">
        <v>563.82079999999996</v>
      </c>
      <c r="F304">
        <v>3.5</v>
      </c>
      <c r="G304">
        <v>563.68079999999998</v>
      </c>
      <c r="H304">
        <v>4.25</v>
      </c>
      <c r="I304">
        <v>563.6508</v>
      </c>
      <c r="J304">
        <v>5</v>
      </c>
      <c r="K304">
        <v>563.62080000000003</v>
      </c>
      <c r="L304">
        <v>5</v>
      </c>
      <c r="M304">
        <v>563.02080000000001</v>
      </c>
      <c r="N304">
        <v>5.6</v>
      </c>
      <c r="O304">
        <v>563.02080000000001</v>
      </c>
      <c r="P304">
        <v>5.6</v>
      </c>
      <c r="Q304">
        <v>563.62080000000003</v>
      </c>
      <c r="R304">
        <v>5.9</v>
      </c>
      <c r="S304">
        <v>563.62080000000003</v>
      </c>
      <c r="T304">
        <v>9.0896000000000008</v>
      </c>
      <c r="U304">
        <v>570</v>
      </c>
    </row>
    <row r="306" spans="1:21">
      <c r="A306">
        <v>42836.612000000001</v>
      </c>
    </row>
    <row r="307" spans="1:21">
      <c r="A307">
        <v>10</v>
      </c>
      <c r="B307">
        <v>0</v>
      </c>
      <c r="C307">
        <v>564.59010000000001</v>
      </c>
      <c r="D307">
        <v>0</v>
      </c>
      <c r="E307">
        <v>564.59010000000001</v>
      </c>
      <c r="F307">
        <v>-3.5</v>
      </c>
      <c r="G307">
        <v>564.73009999999999</v>
      </c>
      <c r="H307">
        <v>-4.25</v>
      </c>
      <c r="I307">
        <v>564.76009999999997</v>
      </c>
      <c r="J307">
        <v>-5</v>
      </c>
      <c r="K307">
        <v>564.73760000000004</v>
      </c>
      <c r="L307">
        <v>-5</v>
      </c>
      <c r="M307">
        <v>564.13760000000002</v>
      </c>
      <c r="N307">
        <v>-5.6</v>
      </c>
      <c r="O307">
        <v>564.13760000000002</v>
      </c>
      <c r="P307">
        <v>-5.6</v>
      </c>
      <c r="Q307">
        <v>564.73760000000004</v>
      </c>
      <c r="R307">
        <v>-5.9</v>
      </c>
      <c r="S307">
        <v>564.73760000000004</v>
      </c>
      <c r="T307">
        <v>-8.5312000000000001</v>
      </c>
      <c r="U307">
        <v>570</v>
      </c>
    </row>
    <row r="308" spans="1:21">
      <c r="A308">
        <v>10</v>
      </c>
      <c r="B308">
        <v>0</v>
      </c>
      <c r="C308">
        <v>564.59010000000001</v>
      </c>
      <c r="D308">
        <v>0</v>
      </c>
      <c r="E308">
        <v>564.59010000000001</v>
      </c>
      <c r="F308">
        <v>3.5</v>
      </c>
      <c r="G308">
        <v>564.45010000000002</v>
      </c>
      <c r="H308">
        <v>4.25</v>
      </c>
      <c r="I308">
        <v>564.42010000000005</v>
      </c>
      <c r="J308">
        <v>5</v>
      </c>
      <c r="K308">
        <v>564.39009999999996</v>
      </c>
      <c r="L308">
        <v>5</v>
      </c>
      <c r="M308">
        <v>563.79010000000005</v>
      </c>
      <c r="N308">
        <v>5.6</v>
      </c>
      <c r="O308">
        <v>563.79010000000005</v>
      </c>
      <c r="P308">
        <v>5.6</v>
      </c>
      <c r="Q308">
        <v>564.39009999999996</v>
      </c>
      <c r="R308">
        <v>5.9</v>
      </c>
      <c r="S308">
        <v>564.39009999999996</v>
      </c>
      <c r="T308">
        <v>8.7049000000000003</v>
      </c>
      <c r="U308">
        <v>570</v>
      </c>
    </row>
    <row r="310" spans="1:21">
      <c r="A310">
        <v>42840</v>
      </c>
    </row>
    <row r="311" spans="1:21">
      <c r="A311">
        <v>10</v>
      </c>
      <c r="B311">
        <v>0</v>
      </c>
      <c r="C311">
        <v>564.75760000000002</v>
      </c>
      <c r="D311">
        <v>0</v>
      </c>
      <c r="E311">
        <v>564.75760000000002</v>
      </c>
      <c r="F311">
        <v>-3.5</v>
      </c>
      <c r="G311">
        <v>564.89760000000001</v>
      </c>
      <c r="H311">
        <v>-4.25</v>
      </c>
      <c r="I311">
        <v>564.92759999999998</v>
      </c>
      <c r="J311">
        <v>-5</v>
      </c>
      <c r="K311">
        <v>564.90509999999995</v>
      </c>
      <c r="L311">
        <v>-5</v>
      </c>
      <c r="M311">
        <v>564.30510000000004</v>
      </c>
      <c r="N311">
        <v>-5.6</v>
      </c>
      <c r="O311">
        <v>564.30510000000004</v>
      </c>
      <c r="P311">
        <v>-5.6</v>
      </c>
      <c r="Q311">
        <v>564.90509999999995</v>
      </c>
      <c r="R311">
        <v>-5.9</v>
      </c>
      <c r="S311">
        <v>564.90509999999995</v>
      </c>
      <c r="T311">
        <v>-8.4474</v>
      </c>
      <c r="U311">
        <v>570</v>
      </c>
    </row>
    <row r="312" spans="1:21">
      <c r="A312">
        <v>10</v>
      </c>
      <c r="B312">
        <v>0</v>
      </c>
      <c r="C312">
        <v>564.75760000000002</v>
      </c>
      <c r="D312">
        <v>0</v>
      </c>
      <c r="E312">
        <v>564.75760000000002</v>
      </c>
      <c r="F312">
        <v>3.5</v>
      </c>
      <c r="G312">
        <v>564.61760000000004</v>
      </c>
      <c r="H312">
        <v>4.25</v>
      </c>
      <c r="I312">
        <v>564.58759999999995</v>
      </c>
      <c r="J312">
        <v>5</v>
      </c>
      <c r="K312">
        <v>564.55759999999998</v>
      </c>
      <c r="L312">
        <v>5</v>
      </c>
      <c r="M312">
        <v>563.95759999999996</v>
      </c>
      <c r="N312">
        <v>5.6</v>
      </c>
      <c r="O312">
        <v>563.95759999999996</v>
      </c>
      <c r="P312">
        <v>5.6</v>
      </c>
      <c r="Q312">
        <v>564.55759999999998</v>
      </c>
      <c r="R312">
        <v>5.9</v>
      </c>
      <c r="S312">
        <v>564.55759999999998</v>
      </c>
      <c r="T312">
        <v>8.6212</v>
      </c>
      <c r="U312">
        <v>570</v>
      </c>
    </row>
    <row r="314" spans="1:21">
      <c r="A314">
        <v>42860</v>
      </c>
    </row>
    <row r="315" spans="1:21">
      <c r="A315">
        <v>10</v>
      </c>
      <c r="B315">
        <v>0</v>
      </c>
      <c r="C315">
        <v>565.81939999999997</v>
      </c>
      <c r="D315">
        <v>0</v>
      </c>
      <c r="E315">
        <v>565.81939999999997</v>
      </c>
      <c r="F315">
        <v>-3.5</v>
      </c>
      <c r="G315">
        <v>565.95939999999996</v>
      </c>
      <c r="H315">
        <v>-4.25</v>
      </c>
      <c r="I315">
        <v>565.98940000000005</v>
      </c>
      <c r="J315">
        <v>-5</v>
      </c>
      <c r="K315">
        <v>565.96690000000001</v>
      </c>
      <c r="L315">
        <v>-5</v>
      </c>
      <c r="M315">
        <v>565.36689999999999</v>
      </c>
      <c r="N315">
        <v>-5.6</v>
      </c>
      <c r="O315">
        <v>565.36689999999999</v>
      </c>
      <c r="P315">
        <v>-5.6</v>
      </c>
      <c r="Q315">
        <v>565.96690000000001</v>
      </c>
      <c r="R315">
        <v>-5.9</v>
      </c>
      <c r="S315">
        <v>565.96690000000001</v>
      </c>
      <c r="T315">
        <v>-7.9165000000000001</v>
      </c>
      <c r="U315">
        <v>570</v>
      </c>
    </row>
    <row r="316" spans="1:21">
      <c r="A316">
        <v>10</v>
      </c>
      <c r="B316">
        <v>0</v>
      </c>
      <c r="C316">
        <v>565.81939999999997</v>
      </c>
      <c r="D316">
        <v>0</v>
      </c>
      <c r="E316">
        <v>565.81939999999997</v>
      </c>
      <c r="F316">
        <v>3.5</v>
      </c>
      <c r="G316">
        <v>565.67939999999999</v>
      </c>
      <c r="H316">
        <v>4.25</v>
      </c>
      <c r="I316">
        <v>565.64940000000001</v>
      </c>
      <c r="J316">
        <v>5</v>
      </c>
      <c r="K316">
        <v>565.61940000000004</v>
      </c>
      <c r="L316">
        <v>5</v>
      </c>
      <c r="M316">
        <v>565.01940000000002</v>
      </c>
      <c r="N316">
        <v>5.6</v>
      </c>
      <c r="O316">
        <v>565.01940000000002</v>
      </c>
      <c r="P316">
        <v>5.6</v>
      </c>
      <c r="Q316">
        <v>565.61940000000004</v>
      </c>
      <c r="R316">
        <v>5.9</v>
      </c>
      <c r="S316">
        <v>565.61940000000004</v>
      </c>
      <c r="T316">
        <v>8.0902999999999992</v>
      </c>
      <c r="U316">
        <v>570</v>
      </c>
    </row>
    <row r="318" spans="1:21">
      <c r="A318">
        <v>42880</v>
      </c>
    </row>
    <row r="319" spans="1:21">
      <c r="A319">
        <v>10</v>
      </c>
      <c r="B319">
        <v>0</v>
      </c>
      <c r="C319">
        <v>567.00620000000004</v>
      </c>
      <c r="D319">
        <v>0</v>
      </c>
      <c r="E319">
        <v>567.00620000000004</v>
      </c>
      <c r="F319">
        <v>-3.5</v>
      </c>
      <c r="G319">
        <v>567.14620000000002</v>
      </c>
      <c r="H319">
        <v>-4.25</v>
      </c>
      <c r="I319">
        <v>567.17619999999999</v>
      </c>
      <c r="J319">
        <v>-5</v>
      </c>
      <c r="K319">
        <v>567.15369999999996</v>
      </c>
      <c r="L319">
        <v>-5</v>
      </c>
      <c r="M319">
        <v>566.55370000000005</v>
      </c>
      <c r="N319">
        <v>-5.6</v>
      </c>
      <c r="O319">
        <v>566.55370000000005</v>
      </c>
      <c r="P319">
        <v>-5.6</v>
      </c>
      <c r="Q319">
        <v>567.15369999999996</v>
      </c>
      <c r="R319">
        <v>-5.9</v>
      </c>
      <c r="S319">
        <v>567.15369999999996</v>
      </c>
      <c r="T319">
        <v>-7.3231000000000002</v>
      </c>
      <c r="U319">
        <v>570</v>
      </c>
    </row>
    <row r="320" spans="1:21">
      <c r="A320">
        <v>10</v>
      </c>
      <c r="B320">
        <v>0</v>
      </c>
      <c r="C320">
        <v>567.00620000000004</v>
      </c>
      <c r="D320">
        <v>0</v>
      </c>
      <c r="E320">
        <v>567.00620000000004</v>
      </c>
      <c r="F320">
        <v>3.5</v>
      </c>
      <c r="G320">
        <v>566.86620000000005</v>
      </c>
      <c r="H320">
        <v>4.25</v>
      </c>
      <c r="I320">
        <v>566.83619999999996</v>
      </c>
      <c r="J320">
        <v>5</v>
      </c>
      <c r="K320">
        <v>566.80619999999999</v>
      </c>
      <c r="L320">
        <v>5</v>
      </c>
      <c r="M320">
        <v>566.20619999999997</v>
      </c>
      <c r="N320">
        <v>5.6</v>
      </c>
      <c r="O320">
        <v>566.20619999999997</v>
      </c>
      <c r="P320">
        <v>5.6</v>
      </c>
      <c r="Q320">
        <v>566.80619999999999</v>
      </c>
      <c r="R320">
        <v>5.9</v>
      </c>
      <c r="S320">
        <v>566.80619999999999</v>
      </c>
      <c r="T320">
        <v>7.4969000000000001</v>
      </c>
      <c r="U320">
        <v>570</v>
      </c>
    </row>
    <row r="322" spans="1:21">
      <c r="A322">
        <v>42883.506000000001</v>
      </c>
    </row>
    <row r="323" spans="1:21">
      <c r="A323">
        <v>10</v>
      </c>
      <c r="B323">
        <v>0</v>
      </c>
      <c r="C323">
        <v>567.2251</v>
      </c>
      <c r="D323">
        <v>0</v>
      </c>
      <c r="E323">
        <v>567.2251</v>
      </c>
      <c r="F323">
        <v>-3.5</v>
      </c>
      <c r="G323">
        <v>567.36509999999998</v>
      </c>
      <c r="H323">
        <v>-4.25</v>
      </c>
      <c r="I323">
        <v>567.39509999999996</v>
      </c>
      <c r="J323">
        <v>-5</v>
      </c>
      <c r="K323">
        <v>567.37260000000003</v>
      </c>
      <c r="L323">
        <v>-5</v>
      </c>
      <c r="M323">
        <v>566.77260000000001</v>
      </c>
      <c r="N323">
        <v>-5.6</v>
      </c>
      <c r="O323">
        <v>566.77260000000001</v>
      </c>
      <c r="P323">
        <v>-5.6</v>
      </c>
      <c r="Q323">
        <v>567.37260000000003</v>
      </c>
      <c r="R323">
        <v>-5.9</v>
      </c>
      <c r="S323">
        <v>567.37260000000003</v>
      </c>
      <c r="T323">
        <v>-7.2137000000000002</v>
      </c>
      <c r="U323">
        <v>570</v>
      </c>
    </row>
    <row r="324" spans="1:21">
      <c r="A324">
        <v>10</v>
      </c>
      <c r="B324">
        <v>0</v>
      </c>
      <c r="C324">
        <v>567.2251</v>
      </c>
      <c r="D324">
        <v>0</v>
      </c>
      <c r="E324">
        <v>567.2251</v>
      </c>
      <c r="F324">
        <v>3.5</v>
      </c>
      <c r="G324">
        <v>567.08510000000001</v>
      </c>
      <c r="H324">
        <v>4.25</v>
      </c>
      <c r="I324">
        <v>567.05510000000004</v>
      </c>
      <c r="J324">
        <v>5</v>
      </c>
      <c r="K324">
        <v>567.02509999999995</v>
      </c>
      <c r="L324">
        <v>5</v>
      </c>
      <c r="M324">
        <v>566.42510000000004</v>
      </c>
      <c r="N324">
        <v>5.6</v>
      </c>
      <c r="O324">
        <v>566.42510000000004</v>
      </c>
      <c r="P324">
        <v>5.6</v>
      </c>
      <c r="Q324">
        <v>567.02509999999995</v>
      </c>
      <c r="R324">
        <v>5.9</v>
      </c>
      <c r="S324">
        <v>567.02509999999995</v>
      </c>
      <c r="T324">
        <v>7.3874000000000004</v>
      </c>
      <c r="U324">
        <v>570</v>
      </c>
    </row>
    <row r="326" spans="1:21">
      <c r="A326">
        <v>42900</v>
      </c>
    </row>
    <row r="327" spans="1:21">
      <c r="A327">
        <v>10</v>
      </c>
      <c r="B327">
        <v>0</v>
      </c>
      <c r="C327">
        <v>568.25490000000002</v>
      </c>
      <c r="D327">
        <v>0</v>
      </c>
      <c r="E327">
        <v>568.25490000000002</v>
      </c>
      <c r="F327">
        <v>-3.5</v>
      </c>
      <c r="G327">
        <v>568.29589999999996</v>
      </c>
      <c r="H327">
        <v>-4.25</v>
      </c>
      <c r="I327">
        <v>568.30470000000003</v>
      </c>
      <c r="J327">
        <v>-5</v>
      </c>
      <c r="K327">
        <v>568.28219999999999</v>
      </c>
      <c r="L327">
        <v>-5</v>
      </c>
      <c r="M327">
        <v>567.68219999999997</v>
      </c>
      <c r="N327">
        <v>-5.6</v>
      </c>
      <c r="O327">
        <v>567.68219999999997</v>
      </c>
      <c r="P327">
        <v>-5.6</v>
      </c>
      <c r="Q327">
        <v>568.28219999999999</v>
      </c>
      <c r="R327">
        <v>-5.9</v>
      </c>
      <c r="S327">
        <v>568.28219999999999</v>
      </c>
      <c r="T327">
        <v>-6.7588999999999997</v>
      </c>
      <c r="U327">
        <v>570</v>
      </c>
    </row>
    <row r="328" spans="1:21">
      <c r="A328">
        <v>10</v>
      </c>
      <c r="B328">
        <v>0</v>
      </c>
      <c r="C328">
        <v>568.25490000000002</v>
      </c>
      <c r="D328">
        <v>0</v>
      </c>
      <c r="E328">
        <v>568.25490000000002</v>
      </c>
      <c r="F328">
        <v>3.5</v>
      </c>
      <c r="G328">
        <v>568.18489999999997</v>
      </c>
      <c r="H328">
        <v>4.25</v>
      </c>
      <c r="I328">
        <v>568.16989999999998</v>
      </c>
      <c r="J328">
        <v>5</v>
      </c>
      <c r="K328">
        <v>568.1549</v>
      </c>
      <c r="L328">
        <v>5</v>
      </c>
      <c r="M328">
        <v>567.55489999999998</v>
      </c>
      <c r="N328">
        <v>5.6</v>
      </c>
      <c r="O328">
        <v>567.55489999999998</v>
      </c>
      <c r="P328">
        <v>5.6</v>
      </c>
      <c r="Q328">
        <v>568.1549</v>
      </c>
      <c r="R328">
        <v>5.9</v>
      </c>
      <c r="S328">
        <v>568.1549</v>
      </c>
      <c r="T328">
        <v>6.8226000000000004</v>
      </c>
      <c r="U328">
        <v>570</v>
      </c>
    </row>
    <row r="330" spans="1:21">
      <c r="A330">
        <v>42918.506000000001</v>
      </c>
    </row>
    <row r="331" spans="1:21">
      <c r="A331">
        <v>10</v>
      </c>
      <c r="B331">
        <v>0</v>
      </c>
      <c r="C331">
        <v>569.41020000000003</v>
      </c>
      <c r="D331">
        <v>0</v>
      </c>
      <c r="E331">
        <v>569.41020000000003</v>
      </c>
      <c r="F331">
        <v>-3.5</v>
      </c>
      <c r="G331">
        <v>569.34019999999998</v>
      </c>
      <c r="H331">
        <v>-4.25</v>
      </c>
      <c r="I331">
        <v>569.3252</v>
      </c>
      <c r="J331">
        <v>-5</v>
      </c>
      <c r="K331">
        <v>569.30269999999996</v>
      </c>
      <c r="L331">
        <v>-5</v>
      </c>
      <c r="M331">
        <v>568.70270000000005</v>
      </c>
      <c r="N331">
        <v>-5.6</v>
      </c>
      <c r="O331">
        <v>568.70270000000005</v>
      </c>
      <c r="P331">
        <v>-5.6</v>
      </c>
      <c r="Q331">
        <v>569.30269999999996</v>
      </c>
      <c r="R331">
        <v>-5.9</v>
      </c>
      <c r="S331">
        <v>569.30269999999996</v>
      </c>
      <c r="T331">
        <v>-6.2485999999999997</v>
      </c>
      <c r="U331">
        <v>570</v>
      </c>
    </row>
    <row r="332" spans="1:21">
      <c r="A332">
        <v>10</v>
      </c>
      <c r="B332">
        <v>0</v>
      </c>
      <c r="C332">
        <v>569.41020000000003</v>
      </c>
      <c r="D332">
        <v>0</v>
      </c>
      <c r="E332">
        <v>569.41020000000003</v>
      </c>
      <c r="F332">
        <v>3.5</v>
      </c>
      <c r="G332">
        <v>569.34019999999998</v>
      </c>
      <c r="H332">
        <v>4.25</v>
      </c>
      <c r="I332">
        <v>569.3252</v>
      </c>
      <c r="J332">
        <v>5</v>
      </c>
      <c r="K332">
        <v>569.31020000000001</v>
      </c>
      <c r="L332">
        <v>5</v>
      </c>
      <c r="M332">
        <v>568.71019999999999</v>
      </c>
      <c r="N332">
        <v>5.6</v>
      </c>
      <c r="O332">
        <v>568.71019999999999</v>
      </c>
      <c r="P332">
        <v>5.6</v>
      </c>
      <c r="Q332">
        <v>569.31020000000001</v>
      </c>
      <c r="R332">
        <v>5.9</v>
      </c>
      <c r="S332">
        <v>569.31020000000001</v>
      </c>
      <c r="T332">
        <v>6.1214000000000004</v>
      </c>
      <c r="U332">
        <v>569.75300000000004</v>
      </c>
    </row>
    <row r="334" spans="1:21">
      <c r="A334">
        <v>42920</v>
      </c>
    </row>
    <row r="335" spans="1:21">
      <c r="A335">
        <v>10</v>
      </c>
      <c r="B335">
        <v>0</v>
      </c>
      <c r="C335">
        <v>569.50350000000003</v>
      </c>
      <c r="D335">
        <v>0</v>
      </c>
      <c r="E335">
        <v>569.50350000000003</v>
      </c>
      <c r="F335">
        <v>-3.5</v>
      </c>
      <c r="G335">
        <v>569.43349999999998</v>
      </c>
      <c r="H335">
        <v>-4.25</v>
      </c>
      <c r="I335">
        <v>569.41849999999999</v>
      </c>
      <c r="J335">
        <v>-5</v>
      </c>
      <c r="K335">
        <v>569.39599999999996</v>
      </c>
      <c r="L335">
        <v>-5</v>
      </c>
      <c r="M335">
        <v>568.79600000000005</v>
      </c>
      <c r="N335">
        <v>-5.6</v>
      </c>
      <c r="O335">
        <v>568.79600000000005</v>
      </c>
      <c r="P335">
        <v>-5.6</v>
      </c>
      <c r="Q335">
        <v>569.39599999999996</v>
      </c>
      <c r="R335">
        <v>-5.9</v>
      </c>
      <c r="S335">
        <v>569.39599999999996</v>
      </c>
      <c r="T335">
        <v>-6.202</v>
      </c>
      <c r="U335">
        <v>570</v>
      </c>
    </row>
    <row r="336" spans="1:21">
      <c r="A336">
        <v>10</v>
      </c>
      <c r="B336">
        <v>0</v>
      </c>
      <c r="C336">
        <v>569.50350000000003</v>
      </c>
      <c r="D336">
        <v>0</v>
      </c>
      <c r="E336">
        <v>569.50350000000003</v>
      </c>
      <c r="F336">
        <v>3.5</v>
      </c>
      <c r="G336">
        <v>569.43349999999998</v>
      </c>
      <c r="H336">
        <v>4.25</v>
      </c>
      <c r="I336">
        <v>569.41849999999999</v>
      </c>
      <c r="J336">
        <v>5</v>
      </c>
      <c r="K336">
        <v>569.39599999999996</v>
      </c>
      <c r="L336">
        <v>5</v>
      </c>
      <c r="M336">
        <v>568.79600000000005</v>
      </c>
      <c r="N336">
        <v>5.6</v>
      </c>
      <c r="O336">
        <v>568.79600000000005</v>
      </c>
      <c r="P336">
        <v>5.6</v>
      </c>
      <c r="Q336">
        <v>569.39599999999996</v>
      </c>
      <c r="R336">
        <v>5.9</v>
      </c>
      <c r="S336">
        <v>569.39599999999996</v>
      </c>
      <c r="T336">
        <v>5.9252000000000002</v>
      </c>
      <c r="U336">
        <v>569.44629999999995</v>
      </c>
    </row>
    <row r="338" spans="1:21">
      <c r="A338">
        <v>42940</v>
      </c>
    </row>
    <row r="339" spans="1:21">
      <c r="A339">
        <v>6</v>
      </c>
      <c r="B339">
        <v>0</v>
      </c>
      <c r="C339">
        <v>570.75210000000004</v>
      </c>
      <c r="D339">
        <v>0</v>
      </c>
      <c r="E339">
        <v>570.75210000000004</v>
      </c>
      <c r="F339">
        <v>-3.5</v>
      </c>
      <c r="G339">
        <v>570.68209999999999</v>
      </c>
      <c r="H339">
        <v>-4.25</v>
      </c>
      <c r="I339">
        <v>570.6671</v>
      </c>
      <c r="J339">
        <v>-5</v>
      </c>
      <c r="K339">
        <v>570.64459999999997</v>
      </c>
      <c r="L339">
        <v>-7.1700999999999997</v>
      </c>
      <c r="M339">
        <v>569.1979</v>
      </c>
    </row>
    <row r="340" spans="1:21">
      <c r="A340">
        <v>6</v>
      </c>
      <c r="B340">
        <v>0</v>
      </c>
      <c r="C340">
        <v>570.75210000000004</v>
      </c>
      <c r="D340">
        <v>0</v>
      </c>
      <c r="E340">
        <v>570.75210000000004</v>
      </c>
      <c r="F340">
        <v>3.5</v>
      </c>
      <c r="G340">
        <v>570.68209999999999</v>
      </c>
      <c r="H340">
        <v>4.25</v>
      </c>
      <c r="I340">
        <v>570.6671</v>
      </c>
      <c r="J340">
        <v>5</v>
      </c>
      <c r="K340">
        <v>570.64459999999997</v>
      </c>
      <c r="L340">
        <v>16.831800000000001</v>
      </c>
      <c r="M340">
        <v>562.75670000000002</v>
      </c>
    </row>
    <row r="342" spans="1:21">
      <c r="A342">
        <v>42960</v>
      </c>
    </row>
    <row r="343" spans="1:21">
      <c r="A343">
        <v>6</v>
      </c>
      <c r="B343">
        <v>0</v>
      </c>
      <c r="C343">
        <v>572.00070000000005</v>
      </c>
      <c r="D343">
        <v>0</v>
      </c>
      <c r="E343">
        <v>572.00070000000005</v>
      </c>
      <c r="F343">
        <v>-3.5</v>
      </c>
      <c r="G343">
        <v>571.9307</v>
      </c>
      <c r="H343">
        <v>-4.25</v>
      </c>
      <c r="I343">
        <v>571.91570000000002</v>
      </c>
      <c r="J343">
        <v>-5</v>
      </c>
      <c r="K343">
        <v>571.89319999999998</v>
      </c>
      <c r="L343">
        <v>-13.8873</v>
      </c>
      <c r="M343">
        <v>565.9683</v>
      </c>
    </row>
    <row r="344" spans="1:21">
      <c r="A344">
        <v>8</v>
      </c>
      <c r="B344">
        <v>0</v>
      </c>
      <c r="C344">
        <v>572.00070000000005</v>
      </c>
      <c r="D344">
        <v>0</v>
      </c>
      <c r="E344">
        <v>572.00070000000005</v>
      </c>
      <c r="F344">
        <v>3.5</v>
      </c>
      <c r="G344">
        <v>571.9307</v>
      </c>
      <c r="H344">
        <v>4.25</v>
      </c>
      <c r="I344">
        <v>571.91570000000002</v>
      </c>
      <c r="J344">
        <v>5</v>
      </c>
      <c r="K344">
        <v>571.89319999999998</v>
      </c>
      <c r="L344">
        <v>17</v>
      </c>
      <c r="M344">
        <v>563.89319999999998</v>
      </c>
      <c r="N344">
        <v>18.5</v>
      </c>
      <c r="O344">
        <v>563.89319999999998</v>
      </c>
      <c r="P344">
        <v>34.264099999999999</v>
      </c>
      <c r="Q344">
        <v>554.88509999999997</v>
      </c>
    </row>
    <row r="346" spans="1:21">
      <c r="A346">
        <v>42980</v>
      </c>
    </row>
    <row r="347" spans="1:21">
      <c r="A347">
        <v>8</v>
      </c>
      <c r="B347">
        <v>0</v>
      </c>
      <c r="C347">
        <v>573.24929999999995</v>
      </c>
      <c r="D347">
        <v>0</v>
      </c>
      <c r="E347">
        <v>573.24929999999995</v>
      </c>
      <c r="F347">
        <v>-3.5</v>
      </c>
      <c r="G347">
        <v>573.17930000000001</v>
      </c>
      <c r="H347">
        <v>-4.25</v>
      </c>
      <c r="I347">
        <v>573.16430000000003</v>
      </c>
      <c r="J347">
        <v>-5</v>
      </c>
      <c r="K347">
        <v>573.14179999999999</v>
      </c>
      <c r="L347">
        <v>-17</v>
      </c>
      <c r="M347">
        <v>565.14179999999999</v>
      </c>
      <c r="N347">
        <v>-18.5</v>
      </c>
      <c r="O347">
        <v>565.14179999999999</v>
      </c>
      <c r="P347">
        <v>-22.771899999999999</v>
      </c>
      <c r="Q347">
        <v>562.70069999999998</v>
      </c>
    </row>
    <row r="348" spans="1:21">
      <c r="A348">
        <v>10</v>
      </c>
      <c r="B348">
        <v>0</v>
      </c>
      <c r="C348">
        <v>573.24929999999995</v>
      </c>
      <c r="D348">
        <v>0</v>
      </c>
      <c r="E348">
        <v>573.24929999999995</v>
      </c>
      <c r="F348">
        <v>3.5</v>
      </c>
      <c r="G348">
        <v>573.17930000000001</v>
      </c>
      <c r="H348">
        <v>4.25</v>
      </c>
      <c r="I348">
        <v>573.16430000000003</v>
      </c>
      <c r="J348">
        <v>5</v>
      </c>
      <c r="K348">
        <v>573.14179999999999</v>
      </c>
      <c r="L348">
        <v>17</v>
      </c>
      <c r="M348">
        <v>565.14179999999999</v>
      </c>
      <c r="N348">
        <v>18.5</v>
      </c>
      <c r="O348">
        <v>565.14179999999999</v>
      </c>
      <c r="P348">
        <v>39.5</v>
      </c>
      <c r="Q348">
        <v>553.14179999999999</v>
      </c>
      <c r="R348">
        <v>41</v>
      </c>
      <c r="S348">
        <v>553.14179999999999</v>
      </c>
      <c r="T348">
        <v>67.283600000000007</v>
      </c>
      <c r="U348">
        <v>540</v>
      </c>
    </row>
    <row r="350" spans="1:21">
      <c r="A350">
        <v>42987.165999999997</v>
      </c>
    </row>
    <row r="351" spans="1:21">
      <c r="A351">
        <v>8</v>
      </c>
      <c r="B351">
        <v>0</v>
      </c>
      <c r="C351">
        <v>573.69669999999996</v>
      </c>
      <c r="D351">
        <v>0</v>
      </c>
      <c r="E351">
        <v>573.69669999999996</v>
      </c>
      <c r="F351">
        <v>-3.5</v>
      </c>
      <c r="G351">
        <v>573.62670000000003</v>
      </c>
      <c r="H351">
        <v>-4.25</v>
      </c>
      <c r="I351">
        <v>573.61170000000004</v>
      </c>
      <c r="J351">
        <v>-5</v>
      </c>
      <c r="K351">
        <v>573.58920000000001</v>
      </c>
      <c r="L351">
        <v>-17</v>
      </c>
      <c r="M351">
        <v>565.58920000000001</v>
      </c>
      <c r="N351">
        <v>-18.5</v>
      </c>
      <c r="O351">
        <v>565.58920000000001</v>
      </c>
      <c r="P351">
        <v>-25.914899999999999</v>
      </c>
      <c r="Q351">
        <v>561.35209999999995</v>
      </c>
    </row>
    <row r="352" spans="1:21">
      <c r="A352">
        <v>10</v>
      </c>
      <c r="B352">
        <v>0</v>
      </c>
      <c r="C352">
        <v>573.69669999999996</v>
      </c>
      <c r="D352">
        <v>0</v>
      </c>
      <c r="E352">
        <v>573.69669999999996</v>
      </c>
      <c r="F352">
        <v>3.5</v>
      </c>
      <c r="G352">
        <v>573.62670000000003</v>
      </c>
      <c r="H352">
        <v>4.25</v>
      </c>
      <c r="I352">
        <v>573.61170000000004</v>
      </c>
      <c r="J352">
        <v>5</v>
      </c>
      <c r="K352">
        <v>573.58920000000001</v>
      </c>
      <c r="L352">
        <v>17</v>
      </c>
      <c r="M352">
        <v>565.58920000000001</v>
      </c>
      <c r="N352">
        <v>18.5</v>
      </c>
      <c r="O352">
        <v>565.58920000000001</v>
      </c>
      <c r="P352">
        <v>39.5</v>
      </c>
      <c r="Q352">
        <v>553.58920000000001</v>
      </c>
      <c r="R352">
        <v>41</v>
      </c>
      <c r="S352">
        <v>553.58920000000001</v>
      </c>
      <c r="T352">
        <v>68.178399999999996</v>
      </c>
      <c r="U352">
        <v>540</v>
      </c>
    </row>
    <row r="354" spans="1:21">
      <c r="A354">
        <v>43000</v>
      </c>
    </row>
    <row r="355" spans="1:21">
      <c r="A355">
        <v>8</v>
      </c>
      <c r="B355">
        <v>0</v>
      </c>
      <c r="C355">
        <v>574.49789999999996</v>
      </c>
      <c r="D355">
        <v>0</v>
      </c>
      <c r="E355">
        <v>574.49789999999996</v>
      </c>
      <c r="F355">
        <v>-3.5</v>
      </c>
      <c r="G355">
        <v>574.42790000000002</v>
      </c>
      <c r="H355">
        <v>-4.25</v>
      </c>
      <c r="I355">
        <v>574.41290000000004</v>
      </c>
      <c r="J355">
        <v>-5</v>
      </c>
      <c r="K355">
        <v>574.3904</v>
      </c>
      <c r="L355">
        <v>-17</v>
      </c>
      <c r="M355">
        <v>566.3904</v>
      </c>
      <c r="N355">
        <v>-18.5</v>
      </c>
      <c r="O355">
        <v>566.3904</v>
      </c>
      <c r="P355">
        <v>-31.283899999999999</v>
      </c>
      <c r="Q355">
        <v>559.08540000000005</v>
      </c>
    </row>
    <row r="356" spans="1:21">
      <c r="A356">
        <v>10</v>
      </c>
      <c r="B356">
        <v>0</v>
      </c>
      <c r="C356">
        <v>574.49789999999996</v>
      </c>
      <c r="D356">
        <v>0</v>
      </c>
      <c r="E356">
        <v>574.49789999999996</v>
      </c>
      <c r="F356">
        <v>3.5</v>
      </c>
      <c r="G356">
        <v>574.42790000000002</v>
      </c>
      <c r="H356">
        <v>4.25</v>
      </c>
      <c r="I356">
        <v>574.41290000000004</v>
      </c>
      <c r="J356">
        <v>5</v>
      </c>
      <c r="K356">
        <v>574.3904</v>
      </c>
      <c r="L356">
        <v>17</v>
      </c>
      <c r="M356">
        <v>566.3904</v>
      </c>
      <c r="N356">
        <v>18.5</v>
      </c>
      <c r="O356">
        <v>566.3904</v>
      </c>
      <c r="P356">
        <v>39.5</v>
      </c>
      <c r="Q356">
        <v>554.3904</v>
      </c>
      <c r="R356">
        <v>41</v>
      </c>
      <c r="S356">
        <v>554.3904</v>
      </c>
      <c r="T356">
        <v>69.780900000000003</v>
      </c>
      <c r="U356">
        <v>540</v>
      </c>
    </row>
    <row r="358" spans="1:21">
      <c r="A358">
        <v>43020</v>
      </c>
    </row>
    <row r="359" spans="1:21">
      <c r="A359">
        <v>8</v>
      </c>
      <c r="B359">
        <v>0</v>
      </c>
      <c r="C359">
        <v>575.74649999999997</v>
      </c>
      <c r="D359">
        <v>0</v>
      </c>
      <c r="E359">
        <v>575.74649999999997</v>
      </c>
      <c r="F359">
        <v>-3.5</v>
      </c>
      <c r="G359">
        <v>575.67650000000003</v>
      </c>
      <c r="H359">
        <v>-4.25</v>
      </c>
      <c r="I359">
        <v>575.66150000000005</v>
      </c>
      <c r="J359">
        <v>-5</v>
      </c>
      <c r="K359">
        <v>575.63900000000001</v>
      </c>
      <c r="L359">
        <v>-17</v>
      </c>
      <c r="M359">
        <v>567.63900000000001</v>
      </c>
      <c r="N359">
        <v>-18.5</v>
      </c>
      <c r="O359">
        <v>567.63900000000001</v>
      </c>
      <c r="P359">
        <v>-38.203299999999999</v>
      </c>
      <c r="Q359">
        <v>556.38</v>
      </c>
    </row>
    <row r="360" spans="1:21">
      <c r="A360">
        <v>10</v>
      </c>
      <c r="B360">
        <v>0</v>
      </c>
      <c r="C360">
        <v>575.74649999999997</v>
      </c>
      <c r="D360">
        <v>0</v>
      </c>
      <c r="E360">
        <v>575.74649999999997</v>
      </c>
      <c r="F360">
        <v>3.5</v>
      </c>
      <c r="G360">
        <v>575.67650000000003</v>
      </c>
      <c r="H360">
        <v>4.25</v>
      </c>
      <c r="I360">
        <v>575.66150000000005</v>
      </c>
      <c r="J360">
        <v>5</v>
      </c>
      <c r="K360">
        <v>575.63900000000001</v>
      </c>
      <c r="L360">
        <v>17</v>
      </c>
      <c r="M360">
        <v>567.63900000000001</v>
      </c>
      <c r="N360">
        <v>18.5</v>
      </c>
      <c r="O360">
        <v>567.63900000000001</v>
      </c>
      <c r="P360">
        <v>39.5</v>
      </c>
      <c r="Q360">
        <v>555.63900000000001</v>
      </c>
      <c r="R360">
        <v>41</v>
      </c>
      <c r="S360">
        <v>555.63900000000001</v>
      </c>
      <c r="T360">
        <v>60.1858</v>
      </c>
      <c r="U360">
        <v>546.04610000000002</v>
      </c>
    </row>
    <row r="362" spans="1:21">
      <c r="A362">
        <v>43040</v>
      </c>
    </row>
    <row r="363" spans="1:21">
      <c r="A363">
        <v>10</v>
      </c>
      <c r="B363">
        <v>0</v>
      </c>
      <c r="C363">
        <v>576.99519999999995</v>
      </c>
      <c r="D363">
        <v>0</v>
      </c>
      <c r="E363">
        <v>576.99519999999995</v>
      </c>
      <c r="F363">
        <v>-3.5</v>
      </c>
      <c r="G363">
        <v>576.92520000000002</v>
      </c>
      <c r="H363">
        <v>-4.25</v>
      </c>
      <c r="I363">
        <v>576.91020000000003</v>
      </c>
      <c r="J363">
        <v>-5</v>
      </c>
      <c r="K363">
        <v>576.8877</v>
      </c>
      <c r="L363">
        <v>-17</v>
      </c>
      <c r="M363">
        <v>568.8877</v>
      </c>
      <c r="N363">
        <v>-18.5</v>
      </c>
      <c r="O363">
        <v>568.8877</v>
      </c>
      <c r="P363">
        <v>-39.5</v>
      </c>
      <c r="Q363">
        <v>556.8877</v>
      </c>
      <c r="R363">
        <v>-41</v>
      </c>
      <c r="S363">
        <v>556.8877</v>
      </c>
      <c r="T363">
        <v>-45.416800000000002</v>
      </c>
      <c r="U363">
        <v>554.67930000000001</v>
      </c>
    </row>
    <row r="364" spans="1:21">
      <c r="A364">
        <v>10</v>
      </c>
      <c r="B364">
        <v>0</v>
      </c>
      <c r="C364">
        <v>576.99519999999995</v>
      </c>
      <c r="D364">
        <v>0</v>
      </c>
      <c r="E364">
        <v>576.99519999999995</v>
      </c>
      <c r="F364">
        <v>3.5</v>
      </c>
      <c r="G364">
        <v>576.92520000000002</v>
      </c>
      <c r="H364">
        <v>4.25</v>
      </c>
      <c r="I364">
        <v>576.91020000000003</v>
      </c>
      <c r="J364">
        <v>5</v>
      </c>
      <c r="K364">
        <v>576.8877</v>
      </c>
      <c r="L364">
        <v>17</v>
      </c>
      <c r="M364">
        <v>568.8877</v>
      </c>
      <c r="N364">
        <v>18.5</v>
      </c>
      <c r="O364">
        <v>568.8877</v>
      </c>
      <c r="P364">
        <v>39.5</v>
      </c>
      <c r="Q364">
        <v>556.8877</v>
      </c>
      <c r="R364">
        <v>41</v>
      </c>
      <c r="S364">
        <v>556.8877</v>
      </c>
      <c r="T364">
        <v>51.565399999999997</v>
      </c>
      <c r="U364">
        <v>551.60500000000002</v>
      </c>
    </row>
    <row r="366" spans="1:21">
      <c r="A366">
        <v>43060</v>
      </c>
    </row>
    <row r="367" spans="1:21">
      <c r="A367">
        <v>10</v>
      </c>
      <c r="B367">
        <v>0</v>
      </c>
      <c r="C367">
        <v>578.24379999999996</v>
      </c>
      <c r="D367">
        <v>0</v>
      </c>
      <c r="E367">
        <v>578.24379999999996</v>
      </c>
      <c r="F367">
        <v>-3.5</v>
      </c>
      <c r="G367">
        <v>578.17380000000003</v>
      </c>
      <c r="H367">
        <v>-4.25</v>
      </c>
      <c r="I367">
        <v>578.15880000000004</v>
      </c>
      <c r="J367">
        <v>-5</v>
      </c>
      <c r="K367">
        <v>578.13630000000001</v>
      </c>
      <c r="L367">
        <v>-17</v>
      </c>
      <c r="M367">
        <v>570.13630000000001</v>
      </c>
      <c r="N367">
        <v>-18.5</v>
      </c>
      <c r="O367">
        <v>570.13630000000001</v>
      </c>
      <c r="P367">
        <v>-39.5</v>
      </c>
      <c r="Q367">
        <v>558.13630000000001</v>
      </c>
      <c r="R367">
        <v>-41</v>
      </c>
      <c r="S367">
        <v>558.13630000000001</v>
      </c>
      <c r="T367">
        <v>-48.986899999999999</v>
      </c>
      <c r="U367">
        <v>554.14279999999997</v>
      </c>
    </row>
    <row r="368" spans="1:21">
      <c r="A368">
        <v>10</v>
      </c>
      <c r="B368">
        <v>0</v>
      </c>
      <c r="C368">
        <v>578.24379999999996</v>
      </c>
      <c r="D368">
        <v>0</v>
      </c>
      <c r="E368">
        <v>578.24379999999996</v>
      </c>
      <c r="F368">
        <v>3.5</v>
      </c>
      <c r="G368">
        <v>578.17380000000003</v>
      </c>
      <c r="H368">
        <v>4.25</v>
      </c>
      <c r="I368">
        <v>578.15880000000004</v>
      </c>
      <c r="J368">
        <v>5</v>
      </c>
      <c r="K368">
        <v>578.13630000000001</v>
      </c>
      <c r="L368">
        <v>17</v>
      </c>
      <c r="M368">
        <v>570.13630000000001</v>
      </c>
      <c r="N368">
        <v>18.5</v>
      </c>
      <c r="O368">
        <v>570.13630000000001</v>
      </c>
      <c r="P368">
        <v>39.5</v>
      </c>
      <c r="Q368">
        <v>558.13630000000001</v>
      </c>
      <c r="R368">
        <v>41</v>
      </c>
      <c r="S368">
        <v>558.13630000000001</v>
      </c>
      <c r="T368">
        <v>42.665999999999997</v>
      </c>
      <c r="U368">
        <v>557.30330000000004</v>
      </c>
    </row>
    <row r="370" spans="1:21">
      <c r="A370">
        <v>43064.686000000002</v>
      </c>
    </row>
    <row r="371" spans="1:21">
      <c r="A371">
        <v>10</v>
      </c>
      <c r="B371">
        <v>0</v>
      </c>
      <c r="C371">
        <v>578.53629999999998</v>
      </c>
      <c r="D371">
        <v>0</v>
      </c>
      <c r="E371">
        <v>578.53629999999998</v>
      </c>
      <c r="F371">
        <v>-3.5</v>
      </c>
      <c r="G371">
        <v>578.46630000000005</v>
      </c>
      <c r="H371">
        <v>-4.25</v>
      </c>
      <c r="I371">
        <v>578.45129999999995</v>
      </c>
      <c r="J371">
        <v>-5</v>
      </c>
      <c r="K371">
        <v>578.42880000000002</v>
      </c>
      <c r="L371">
        <v>-17</v>
      </c>
      <c r="M371">
        <v>570.42880000000002</v>
      </c>
      <c r="N371">
        <v>-18.5</v>
      </c>
      <c r="O371">
        <v>570.42880000000002</v>
      </c>
      <c r="P371">
        <v>-39.5</v>
      </c>
      <c r="Q371">
        <v>558.42880000000002</v>
      </c>
      <c r="R371">
        <v>-41</v>
      </c>
      <c r="S371">
        <v>558.42880000000002</v>
      </c>
      <c r="T371">
        <v>-49.171399999999998</v>
      </c>
      <c r="U371">
        <v>554.34310000000005</v>
      </c>
    </row>
    <row r="372" spans="1:21">
      <c r="A372">
        <v>9</v>
      </c>
      <c r="B372">
        <v>0</v>
      </c>
      <c r="C372">
        <v>578.53629999999998</v>
      </c>
      <c r="D372">
        <v>0</v>
      </c>
      <c r="E372">
        <v>578.53629999999998</v>
      </c>
      <c r="F372">
        <v>3.5</v>
      </c>
      <c r="G372">
        <v>578.46630000000005</v>
      </c>
      <c r="H372">
        <v>4.25</v>
      </c>
      <c r="I372">
        <v>578.45129999999995</v>
      </c>
      <c r="J372">
        <v>5</v>
      </c>
      <c r="K372">
        <v>578.42880000000002</v>
      </c>
      <c r="L372">
        <v>17</v>
      </c>
      <c r="M372">
        <v>570.42880000000002</v>
      </c>
      <c r="N372">
        <v>18.5</v>
      </c>
      <c r="O372">
        <v>570.42880000000002</v>
      </c>
      <c r="P372">
        <v>39.5</v>
      </c>
      <c r="Q372">
        <v>558.42880000000002</v>
      </c>
      <c r="R372">
        <v>39.768000000000001</v>
      </c>
      <c r="S372">
        <v>558.42880000000002</v>
      </c>
    </row>
    <row r="374" spans="1:21">
      <c r="A374">
        <v>43080</v>
      </c>
    </row>
    <row r="375" spans="1:21">
      <c r="A375">
        <v>10</v>
      </c>
      <c r="B375">
        <v>0</v>
      </c>
      <c r="C375">
        <v>579.49239999999998</v>
      </c>
      <c r="D375">
        <v>0</v>
      </c>
      <c r="E375">
        <v>579.49239999999998</v>
      </c>
      <c r="F375">
        <v>-3.5</v>
      </c>
      <c r="G375">
        <v>579.42240000000004</v>
      </c>
      <c r="H375">
        <v>-4.25</v>
      </c>
      <c r="I375">
        <v>579.40740000000005</v>
      </c>
      <c r="J375">
        <v>-5</v>
      </c>
      <c r="K375">
        <v>579.38490000000002</v>
      </c>
      <c r="L375">
        <v>-17</v>
      </c>
      <c r="M375">
        <v>571.38490000000002</v>
      </c>
      <c r="N375">
        <v>-18.5</v>
      </c>
      <c r="O375">
        <v>571.38490000000002</v>
      </c>
      <c r="P375">
        <v>-39.5</v>
      </c>
      <c r="Q375">
        <v>559.38490000000002</v>
      </c>
      <c r="R375">
        <v>-41</v>
      </c>
      <c r="S375">
        <v>559.38490000000002</v>
      </c>
      <c r="T375">
        <v>-48.512300000000003</v>
      </c>
      <c r="U375">
        <v>555.62869999999998</v>
      </c>
    </row>
    <row r="376" spans="1:21">
      <c r="A376">
        <v>8</v>
      </c>
      <c r="B376">
        <v>0</v>
      </c>
      <c r="C376">
        <v>579.49239999999998</v>
      </c>
      <c r="D376">
        <v>0</v>
      </c>
      <c r="E376">
        <v>579.49239999999998</v>
      </c>
      <c r="F376">
        <v>3.5</v>
      </c>
      <c r="G376">
        <v>579.42240000000004</v>
      </c>
      <c r="H376">
        <v>4.25</v>
      </c>
      <c r="I376">
        <v>579.40740000000005</v>
      </c>
      <c r="J376">
        <v>5</v>
      </c>
      <c r="K376">
        <v>579.38490000000002</v>
      </c>
      <c r="L376">
        <v>17</v>
      </c>
      <c r="M376">
        <v>571.38490000000002</v>
      </c>
      <c r="N376">
        <v>18.5</v>
      </c>
      <c r="O376">
        <v>571.38490000000002</v>
      </c>
      <c r="P376">
        <v>33.653399999999998</v>
      </c>
      <c r="Q376">
        <v>562.72580000000005</v>
      </c>
    </row>
    <row r="378" spans="1:21">
      <c r="A378">
        <v>43100</v>
      </c>
    </row>
    <row r="379" spans="1:21">
      <c r="A379">
        <v>10</v>
      </c>
      <c r="B379">
        <v>0</v>
      </c>
      <c r="C379">
        <v>580.74099999999999</v>
      </c>
      <c r="D379">
        <v>0</v>
      </c>
      <c r="E379">
        <v>580.74099999999999</v>
      </c>
      <c r="F379">
        <v>-3.5</v>
      </c>
      <c r="G379">
        <v>580.67100000000005</v>
      </c>
      <c r="H379">
        <v>-4.25</v>
      </c>
      <c r="I379">
        <v>580.65599999999995</v>
      </c>
      <c r="J379">
        <v>-5</v>
      </c>
      <c r="K379">
        <v>580.63350000000003</v>
      </c>
      <c r="L379">
        <v>-17</v>
      </c>
      <c r="M379">
        <v>572.63350000000003</v>
      </c>
      <c r="N379">
        <v>-18.5</v>
      </c>
      <c r="O379">
        <v>572.63350000000003</v>
      </c>
      <c r="P379">
        <v>-39.5</v>
      </c>
      <c r="Q379">
        <v>560.63350000000003</v>
      </c>
      <c r="R379">
        <v>-41</v>
      </c>
      <c r="S379">
        <v>560.63350000000003</v>
      </c>
      <c r="T379">
        <v>-44.533200000000001</v>
      </c>
      <c r="U379">
        <v>558.86689999999999</v>
      </c>
    </row>
    <row r="380" spans="1:21">
      <c r="A380">
        <v>8</v>
      </c>
      <c r="B380">
        <v>0</v>
      </c>
      <c r="C380">
        <v>580.74099999999999</v>
      </c>
      <c r="D380">
        <v>0</v>
      </c>
      <c r="E380">
        <v>580.74099999999999</v>
      </c>
      <c r="F380">
        <v>3.5</v>
      </c>
      <c r="G380">
        <v>580.67100000000005</v>
      </c>
      <c r="H380">
        <v>4.25</v>
      </c>
      <c r="I380">
        <v>580.65599999999995</v>
      </c>
      <c r="J380">
        <v>5</v>
      </c>
      <c r="K380">
        <v>580.63350000000003</v>
      </c>
      <c r="L380">
        <v>17</v>
      </c>
      <c r="M380">
        <v>572.63350000000003</v>
      </c>
      <c r="N380">
        <v>18.5</v>
      </c>
      <c r="O380">
        <v>572.63350000000003</v>
      </c>
      <c r="P380">
        <v>27.6782</v>
      </c>
      <c r="Q380">
        <v>567.38879999999995</v>
      </c>
    </row>
    <row r="382" spans="1:21">
      <c r="A382">
        <v>43120</v>
      </c>
    </row>
    <row r="383" spans="1:21">
      <c r="A383">
        <v>10</v>
      </c>
      <c r="B383">
        <v>0</v>
      </c>
      <c r="C383">
        <v>581.9896</v>
      </c>
      <c r="D383">
        <v>0</v>
      </c>
      <c r="E383">
        <v>581.9896</v>
      </c>
      <c r="F383">
        <v>-3.5</v>
      </c>
      <c r="G383">
        <v>581.91959999999995</v>
      </c>
      <c r="H383">
        <v>-4.25</v>
      </c>
      <c r="I383">
        <v>581.90459999999996</v>
      </c>
      <c r="J383">
        <v>-5</v>
      </c>
      <c r="K383">
        <v>581.88210000000004</v>
      </c>
      <c r="L383">
        <v>-17</v>
      </c>
      <c r="M383">
        <v>573.88210000000004</v>
      </c>
      <c r="N383">
        <v>-18.5</v>
      </c>
      <c r="O383">
        <v>573.88210000000004</v>
      </c>
      <c r="P383">
        <v>-39.5</v>
      </c>
      <c r="Q383">
        <v>561.88210000000004</v>
      </c>
      <c r="R383">
        <v>-41</v>
      </c>
      <c r="S383">
        <v>561.88210000000004</v>
      </c>
      <c r="T383">
        <v>-44.764200000000002</v>
      </c>
      <c r="U383">
        <v>560</v>
      </c>
    </row>
    <row r="384" spans="1:21">
      <c r="A384">
        <v>8</v>
      </c>
      <c r="B384">
        <v>0</v>
      </c>
      <c r="C384">
        <v>581.9896</v>
      </c>
      <c r="D384">
        <v>0</v>
      </c>
      <c r="E384">
        <v>581.9896</v>
      </c>
      <c r="F384">
        <v>3.5</v>
      </c>
      <c r="G384">
        <v>581.91959999999995</v>
      </c>
      <c r="H384">
        <v>4.25</v>
      </c>
      <c r="I384">
        <v>581.90459999999996</v>
      </c>
      <c r="J384">
        <v>5</v>
      </c>
      <c r="K384">
        <v>581.88210000000004</v>
      </c>
      <c r="L384">
        <v>17</v>
      </c>
      <c r="M384">
        <v>573.88210000000004</v>
      </c>
      <c r="N384">
        <v>18.5</v>
      </c>
      <c r="O384">
        <v>573.88210000000004</v>
      </c>
      <c r="P384">
        <v>25.293700000000001</v>
      </c>
      <c r="Q384">
        <v>570</v>
      </c>
    </row>
    <row r="386" spans="1:21">
      <c r="A386">
        <v>43140</v>
      </c>
    </row>
    <row r="387" spans="1:21">
      <c r="A387">
        <v>10</v>
      </c>
      <c r="B387">
        <v>0</v>
      </c>
      <c r="C387">
        <v>583.23820000000001</v>
      </c>
      <c r="D387">
        <v>0</v>
      </c>
      <c r="E387">
        <v>583.23820000000001</v>
      </c>
      <c r="F387">
        <v>-3.5</v>
      </c>
      <c r="G387">
        <v>583.16819999999996</v>
      </c>
      <c r="H387">
        <v>-4.25</v>
      </c>
      <c r="I387">
        <v>583.15319999999997</v>
      </c>
      <c r="J387">
        <v>-5</v>
      </c>
      <c r="K387">
        <v>583.13070000000005</v>
      </c>
      <c r="L387">
        <v>-17</v>
      </c>
      <c r="M387">
        <v>575.13070000000005</v>
      </c>
      <c r="N387">
        <v>-18.5</v>
      </c>
      <c r="O387">
        <v>575.13070000000005</v>
      </c>
      <c r="P387">
        <v>-39.5</v>
      </c>
      <c r="Q387">
        <v>563.13070000000005</v>
      </c>
      <c r="R387">
        <v>-41</v>
      </c>
      <c r="S387">
        <v>563.13070000000005</v>
      </c>
      <c r="T387">
        <v>-43.962899999999998</v>
      </c>
      <c r="U387">
        <v>561.64930000000004</v>
      </c>
    </row>
    <row r="388" spans="1:21">
      <c r="A388">
        <v>8</v>
      </c>
      <c r="B388">
        <v>0</v>
      </c>
      <c r="C388">
        <v>583.23820000000001</v>
      </c>
      <c r="D388">
        <v>0</v>
      </c>
      <c r="E388">
        <v>583.23820000000001</v>
      </c>
      <c r="F388">
        <v>3.5</v>
      </c>
      <c r="G388">
        <v>583.16819999999996</v>
      </c>
      <c r="H388">
        <v>4.25</v>
      </c>
      <c r="I388">
        <v>583.15319999999997</v>
      </c>
      <c r="J388">
        <v>5</v>
      </c>
      <c r="K388">
        <v>583.13070000000005</v>
      </c>
      <c r="L388">
        <v>17</v>
      </c>
      <c r="M388">
        <v>575.13070000000005</v>
      </c>
      <c r="N388">
        <v>18.5</v>
      </c>
      <c r="O388">
        <v>575.13070000000005</v>
      </c>
      <c r="P388">
        <v>26.039899999999999</v>
      </c>
      <c r="Q388">
        <v>570.82219999999995</v>
      </c>
    </row>
    <row r="390" spans="1:21">
      <c r="A390">
        <v>43142.205999999998</v>
      </c>
    </row>
    <row r="391" spans="1:21">
      <c r="A391">
        <v>8</v>
      </c>
      <c r="B391">
        <v>0</v>
      </c>
      <c r="C391">
        <v>583.37599999999998</v>
      </c>
      <c r="D391">
        <v>0</v>
      </c>
      <c r="E391">
        <v>583.37599999999998</v>
      </c>
      <c r="F391">
        <v>-3.5</v>
      </c>
      <c r="G391">
        <v>583.30600000000004</v>
      </c>
      <c r="H391">
        <v>-4.25</v>
      </c>
      <c r="I391">
        <v>583.29100000000005</v>
      </c>
      <c r="J391">
        <v>-5</v>
      </c>
      <c r="K391">
        <v>583.26850000000002</v>
      </c>
      <c r="L391">
        <v>-17</v>
      </c>
      <c r="M391">
        <v>575.26850000000002</v>
      </c>
      <c r="N391">
        <v>-18.5</v>
      </c>
      <c r="O391">
        <v>575.26850000000002</v>
      </c>
      <c r="P391">
        <v>-38.681899999999999</v>
      </c>
      <c r="Q391">
        <v>563.73599999999999</v>
      </c>
    </row>
    <row r="392" spans="1:21">
      <c r="A392">
        <v>8</v>
      </c>
      <c r="B392">
        <v>0</v>
      </c>
      <c r="C392">
        <v>583.37599999999998</v>
      </c>
      <c r="D392">
        <v>0</v>
      </c>
      <c r="E392">
        <v>583.37599999999998</v>
      </c>
      <c r="F392">
        <v>3.5</v>
      </c>
      <c r="G392">
        <v>583.30600000000004</v>
      </c>
      <c r="H392">
        <v>4.25</v>
      </c>
      <c r="I392">
        <v>583.29100000000005</v>
      </c>
      <c r="J392">
        <v>5</v>
      </c>
      <c r="K392">
        <v>583.26850000000002</v>
      </c>
      <c r="L392">
        <v>17</v>
      </c>
      <c r="M392">
        <v>575.26850000000002</v>
      </c>
      <c r="N392">
        <v>18.5</v>
      </c>
      <c r="O392">
        <v>575.26850000000002</v>
      </c>
      <c r="P392">
        <v>24.347999999999999</v>
      </c>
      <c r="Q392">
        <v>571.92679999999996</v>
      </c>
    </row>
    <row r="394" spans="1:21">
      <c r="A394">
        <v>43145.58</v>
      </c>
    </row>
    <row r="395" spans="1:21">
      <c r="A395">
        <v>8</v>
      </c>
      <c r="B395">
        <v>0</v>
      </c>
      <c r="C395">
        <v>583.58659999999998</v>
      </c>
      <c r="D395">
        <v>0</v>
      </c>
      <c r="E395">
        <v>583.58659999999998</v>
      </c>
      <c r="F395">
        <v>-3.5</v>
      </c>
      <c r="G395">
        <v>583.51660000000004</v>
      </c>
      <c r="H395">
        <v>-4.25</v>
      </c>
      <c r="I395">
        <v>583.50160000000005</v>
      </c>
      <c r="J395">
        <v>-5</v>
      </c>
      <c r="K395">
        <v>583.47910000000002</v>
      </c>
      <c r="L395">
        <v>-17</v>
      </c>
      <c r="M395">
        <v>575.47910000000002</v>
      </c>
      <c r="N395">
        <v>-18.5</v>
      </c>
      <c r="O395">
        <v>575.47910000000002</v>
      </c>
      <c r="P395">
        <v>-34.851199999999999</v>
      </c>
      <c r="Q395">
        <v>566.13559999999995</v>
      </c>
    </row>
    <row r="396" spans="1:21">
      <c r="A396">
        <v>8</v>
      </c>
      <c r="B396">
        <v>0</v>
      </c>
      <c r="C396">
        <v>583.58659999999998</v>
      </c>
      <c r="D396">
        <v>0</v>
      </c>
      <c r="E396">
        <v>583.58659999999998</v>
      </c>
      <c r="F396">
        <v>3.5</v>
      </c>
      <c r="G396">
        <v>583.51660000000004</v>
      </c>
      <c r="H396">
        <v>4.25</v>
      </c>
      <c r="I396">
        <v>583.50160000000005</v>
      </c>
      <c r="J396">
        <v>5</v>
      </c>
      <c r="K396">
        <v>583.47910000000002</v>
      </c>
      <c r="L396">
        <v>17</v>
      </c>
      <c r="M396">
        <v>575.47910000000002</v>
      </c>
      <c r="N396">
        <v>18.5</v>
      </c>
      <c r="O396">
        <v>575.47910000000002</v>
      </c>
      <c r="P396">
        <v>21.896599999999999</v>
      </c>
      <c r="Q396">
        <v>573.53819999999996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"/>
  <sheetViews>
    <sheetView workbookViewId="0">
      <selection activeCell="D34" sqref="D34"/>
    </sheetView>
  </sheetViews>
  <sheetFormatPr defaultRowHeight="13.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V101"/>
  <sheetViews>
    <sheetView workbookViewId="0">
      <selection activeCell="H22" sqref="H22"/>
    </sheetView>
  </sheetViews>
  <sheetFormatPr defaultRowHeight="13.5"/>
  <sheetData>
    <row r="1" spans="1:74">
      <c r="A1" t="s">
        <v>111</v>
      </c>
    </row>
    <row r="2" spans="1:74">
      <c r="A2" t="s">
        <v>75</v>
      </c>
      <c r="B2" t="s">
        <v>76</v>
      </c>
      <c r="C2" t="s">
        <v>77</v>
      </c>
      <c r="D2" t="s">
        <v>78</v>
      </c>
      <c r="E2" t="s">
        <v>79</v>
      </c>
      <c r="F2" t="s">
        <v>80</v>
      </c>
      <c r="G2" t="s">
        <v>81</v>
      </c>
      <c r="H2" t="s">
        <v>82</v>
      </c>
      <c r="I2" t="s">
        <v>83</v>
      </c>
      <c r="J2" t="s">
        <v>84</v>
      </c>
      <c r="K2" t="s">
        <v>85</v>
      </c>
      <c r="L2" t="s">
        <v>86</v>
      </c>
      <c r="M2" t="s">
        <v>87</v>
      </c>
      <c r="N2" t="s">
        <v>88</v>
      </c>
      <c r="O2" t="s">
        <v>89</v>
      </c>
      <c r="P2" t="s">
        <v>90</v>
      </c>
      <c r="Q2" t="s">
        <v>91</v>
      </c>
      <c r="R2" t="s">
        <v>92</v>
      </c>
      <c r="S2" t="s">
        <v>93</v>
      </c>
      <c r="T2" t="s">
        <v>94</v>
      </c>
      <c r="U2" t="s">
        <v>95</v>
      </c>
      <c r="V2" t="s">
        <v>96</v>
      </c>
      <c r="W2" t="s">
        <v>97</v>
      </c>
      <c r="X2" t="s">
        <v>98</v>
      </c>
      <c r="Y2" t="s">
        <v>99</v>
      </c>
      <c r="Z2" t="s">
        <v>100</v>
      </c>
      <c r="AA2" t="s">
        <v>101</v>
      </c>
      <c r="AB2" t="s">
        <v>102</v>
      </c>
      <c r="AC2" t="s">
        <v>103</v>
      </c>
      <c r="AD2" t="s">
        <v>104</v>
      </c>
      <c r="AE2" t="s">
        <v>105</v>
      </c>
      <c r="AF2" t="s">
        <v>106</v>
      </c>
      <c r="AG2" t="s">
        <v>107</v>
      </c>
      <c r="AH2" t="s">
        <v>108</v>
      </c>
      <c r="AI2" t="s">
        <v>109</v>
      </c>
      <c r="AJ2" t="s">
        <v>110</v>
      </c>
    </row>
    <row r="3" spans="1:74">
      <c r="A3">
        <v>41647.86</v>
      </c>
      <c r="B3">
        <v>88.69</v>
      </c>
      <c r="C3">
        <v>0</v>
      </c>
      <c r="D3">
        <v>-5.5650000000000004</v>
      </c>
      <c r="E3">
        <v>-5</v>
      </c>
      <c r="F3">
        <v>-5</v>
      </c>
      <c r="G3">
        <v>543.35599999999999</v>
      </c>
      <c r="H3">
        <v>543.35599999999999</v>
      </c>
      <c r="I3">
        <v>-9.7949999999999999</v>
      </c>
      <c r="J3">
        <v>-7.6429999999999998</v>
      </c>
      <c r="K3">
        <v>551.14700000000005</v>
      </c>
      <c r="L3">
        <v>546.84299999999996</v>
      </c>
      <c r="M3">
        <v>-5.6</v>
      </c>
      <c r="N3">
        <v>-5.6</v>
      </c>
      <c r="O3">
        <v>0.3</v>
      </c>
      <c r="P3">
        <v>0.3</v>
      </c>
      <c r="Q3">
        <v>542.75599999999997</v>
      </c>
      <c r="R3">
        <v>542.75599999999997</v>
      </c>
      <c r="S3">
        <v>-5.3</v>
      </c>
      <c r="T3">
        <v>-5.3</v>
      </c>
      <c r="U3">
        <v>-0.6</v>
      </c>
      <c r="V3">
        <v>-0.6</v>
      </c>
      <c r="W3">
        <v>10.795</v>
      </c>
      <c r="X3">
        <v>8.6430000000000007</v>
      </c>
      <c r="Y3">
        <v>0</v>
      </c>
      <c r="Z3">
        <v>0</v>
      </c>
      <c r="AA3">
        <v>0</v>
      </c>
      <c r="AB3">
        <v>0</v>
      </c>
      <c r="AC3">
        <v>1</v>
      </c>
      <c r="AD3">
        <v>0</v>
      </c>
      <c r="AE3">
        <v>0</v>
      </c>
      <c r="AF3">
        <v>0</v>
      </c>
      <c r="AG3">
        <v>0</v>
      </c>
      <c r="AH3">
        <v>2.3250000000000002</v>
      </c>
      <c r="AI3">
        <v>2.3250000000000002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4">
      <c r="A4">
        <v>41660</v>
      </c>
      <c r="B4">
        <v>87.629000000000005</v>
      </c>
      <c r="C4">
        <v>0</v>
      </c>
      <c r="D4">
        <v>-5.4729999999999999</v>
      </c>
      <c r="E4">
        <v>-5</v>
      </c>
      <c r="F4">
        <v>-5</v>
      </c>
      <c r="G4">
        <v>543.49</v>
      </c>
      <c r="H4">
        <v>543.49</v>
      </c>
      <c r="I4">
        <v>-9.6750000000000007</v>
      </c>
      <c r="J4">
        <v>-7.83</v>
      </c>
      <c r="K4">
        <v>551.04</v>
      </c>
      <c r="L4">
        <v>547.34900000000005</v>
      </c>
      <c r="M4">
        <v>-5.6</v>
      </c>
      <c r="N4">
        <v>-5.6</v>
      </c>
      <c r="O4">
        <v>0.3</v>
      </c>
      <c r="P4">
        <v>0.3</v>
      </c>
      <c r="Q4">
        <v>542.89</v>
      </c>
      <c r="R4">
        <v>542.89</v>
      </c>
      <c r="S4">
        <v>-5.3</v>
      </c>
      <c r="T4">
        <v>-5.3</v>
      </c>
      <c r="U4">
        <v>-0.6</v>
      </c>
      <c r="V4">
        <v>-0.6</v>
      </c>
      <c r="W4">
        <v>10.675000000000001</v>
      </c>
      <c r="X4">
        <v>8.83</v>
      </c>
      <c r="Y4">
        <v>0</v>
      </c>
      <c r="Z4">
        <v>0</v>
      </c>
      <c r="AA4">
        <v>0</v>
      </c>
      <c r="AB4">
        <v>0</v>
      </c>
      <c r="AC4">
        <v>1</v>
      </c>
      <c r="AD4">
        <v>0</v>
      </c>
      <c r="AE4">
        <v>0</v>
      </c>
      <c r="AF4">
        <v>0</v>
      </c>
      <c r="AG4">
        <v>0</v>
      </c>
      <c r="AH4">
        <v>2.3250000000000002</v>
      </c>
      <c r="AI4">
        <v>2.3250000000000002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</row>
    <row r="5" spans="1:74">
      <c r="A5">
        <v>41680</v>
      </c>
      <c r="B5">
        <v>60.375</v>
      </c>
      <c r="C5">
        <v>0</v>
      </c>
      <c r="D5">
        <v>-3.8719999999999999</v>
      </c>
      <c r="E5">
        <v>-5</v>
      </c>
      <c r="F5">
        <v>-5</v>
      </c>
      <c r="G5">
        <v>543.71</v>
      </c>
      <c r="H5">
        <v>543.71</v>
      </c>
      <c r="I5">
        <v>-8.7010000000000005</v>
      </c>
      <c r="J5">
        <v>-7.1440000000000001</v>
      </c>
      <c r="K5">
        <v>549.31200000000001</v>
      </c>
      <c r="L5">
        <v>546.19799999999998</v>
      </c>
      <c r="M5">
        <v>-5.6</v>
      </c>
      <c r="N5">
        <v>-5.6</v>
      </c>
      <c r="O5">
        <v>0.3</v>
      </c>
      <c r="P5">
        <v>0.3</v>
      </c>
      <c r="Q5">
        <v>543.11</v>
      </c>
      <c r="R5">
        <v>543.11</v>
      </c>
      <c r="S5">
        <v>-5.3</v>
      </c>
      <c r="T5">
        <v>-5.3</v>
      </c>
      <c r="U5">
        <v>-0.6</v>
      </c>
      <c r="V5">
        <v>-0.6</v>
      </c>
      <c r="W5">
        <v>9.7010000000000005</v>
      </c>
      <c r="X5">
        <v>8.1440000000000001</v>
      </c>
      <c r="Y5">
        <v>0</v>
      </c>
      <c r="Z5">
        <v>0</v>
      </c>
      <c r="AA5">
        <v>0</v>
      </c>
      <c r="AB5">
        <v>0</v>
      </c>
      <c r="AC5">
        <v>1</v>
      </c>
      <c r="AD5">
        <v>0</v>
      </c>
      <c r="AE5">
        <v>0</v>
      </c>
      <c r="AF5">
        <v>0</v>
      </c>
      <c r="AG5">
        <v>0</v>
      </c>
      <c r="AH5">
        <v>2.3250000000000002</v>
      </c>
      <c r="AI5">
        <v>2.3250000000000002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</row>
    <row r="6" spans="1:74">
      <c r="A6">
        <v>41696.603999999999</v>
      </c>
      <c r="B6">
        <v>38.386000000000003</v>
      </c>
      <c r="C6">
        <v>0</v>
      </c>
      <c r="D6">
        <v>-2.3969999999999998</v>
      </c>
      <c r="E6">
        <v>-5</v>
      </c>
      <c r="F6">
        <v>-5</v>
      </c>
      <c r="G6">
        <v>543.89200000000005</v>
      </c>
      <c r="H6">
        <v>543.9</v>
      </c>
      <c r="I6">
        <v>-7.8929999999999998</v>
      </c>
      <c r="J6">
        <v>-6.5350000000000001</v>
      </c>
      <c r="K6">
        <v>547.87800000000004</v>
      </c>
      <c r="L6">
        <v>545.16999999999996</v>
      </c>
      <c r="M6">
        <v>-5.6</v>
      </c>
      <c r="N6">
        <v>-5.6</v>
      </c>
      <c r="O6">
        <v>0.3</v>
      </c>
      <c r="P6">
        <v>0.3</v>
      </c>
      <c r="Q6">
        <v>543.29200000000003</v>
      </c>
      <c r="R6">
        <v>543.29999999999995</v>
      </c>
      <c r="S6">
        <v>-5.3</v>
      </c>
      <c r="T6">
        <v>-5.3</v>
      </c>
      <c r="U6">
        <v>-0.6</v>
      </c>
      <c r="V6">
        <v>-0.6</v>
      </c>
      <c r="W6">
        <v>8.8930000000000007</v>
      </c>
      <c r="X6">
        <v>7.5350000000000001</v>
      </c>
      <c r="Y6">
        <v>0</v>
      </c>
      <c r="Z6">
        <v>0</v>
      </c>
      <c r="AA6">
        <v>0</v>
      </c>
      <c r="AB6">
        <v>0</v>
      </c>
      <c r="AC6">
        <v>1</v>
      </c>
      <c r="AD6">
        <v>0</v>
      </c>
      <c r="AE6">
        <v>0</v>
      </c>
      <c r="AF6">
        <v>0</v>
      </c>
      <c r="AG6">
        <v>0</v>
      </c>
      <c r="AH6">
        <v>2.3250000000000002</v>
      </c>
      <c r="AI6">
        <v>2.3250000000000002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</row>
    <row r="7" spans="1:74">
      <c r="A7">
        <v>41700</v>
      </c>
      <c r="B7">
        <v>36.597000000000001</v>
      </c>
      <c r="C7">
        <v>0</v>
      </c>
      <c r="D7">
        <v>-2.2770000000000001</v>
      </c>
      <c r="E7">
        <v>-5</v>
      </c>
      <c r="F7">
        <v>-5.0970000000000004</v>
      </c>
      <c r="G7">
        <v>543.95899999999995</v>
      </c>
      <c r="H7">
        <v>543.93499999999995</v>
      </c>
      <c r="I7">
        <v>-7.758</v>
      </c>
      <c r="J7">
        <v>-6.57</v>
      </c>
      <c r="K7">
        <v>547.67499999999995</v>
      </c>
      <c r="L7">
        <v>545.08100000000002</v>
      </c>
      <c r="M7">
        <v>-5.6</v>
      </c>
      <c r="N7">
        <v>-5.6970000000000001</v>
      </c>
      <c r="O7">
        <v>0.3</v>
      </c>
      <c r="P7">
        <v>0.3</v>
      </c>
      <c r="Q7">
        <v>543.35900000000004</v>
      </c>
      <c r="R7">
        <v>543.33500000000004</v>
      </c>
      <c r="S7">
        <v>-5.3</v>
      </c>
      <c r="T7">
        <v>-5.3970000000000002</v>
      </c>
      <c r="U7">
        <v>-0.6</v>
      </c>
      <c r="V7">
        <v>-0.6</v>
      </c>
      <c r="W7">
        <v>8.7579999999999991</v>
      </c>
      <c r="X7">
        <v>7.57</v>
      </c>
      <c r="Y7">
        <v>0</v>
      </c>
      <c r="Z7">
        <v>0</v>
      </c>
      <c r="AA7">
        <v>0</v>
      </c>
      <c r="AB7">
        <v>0</v>
      </c>
      <c r="AC7">
        <v>1</v>
      </c>
      <c r="AD7">
        <v>0</v>
      </c>
      <c r="AE7">
        <v>0</v>
      </c>
      <c r="AF7">
        <v>0</v>
      </c>
      <c r="AG7">
        <v>0</v>
      </c>
      <c r="AH7">
        <v>2.3250000000000002</v>
      </c>
      <c r="AI7">
        <v>2.383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</row>
    <row r="8" spans="1:74">
      <c r="A8">
        <v>41720</v>
      </c>
      <c r="B8">
        <v>13.172000000000001</v>
      </c>
      <c r="C8">
        <v>3.0000000000000001E-3</v>
      </c>
      <c r="D8">
        <v>-0.61399999999999999</v>
      </c>
      <c r="E8">
        <v>-5</v>
      </c>
      <c r="F8">
        <v>5.6680000000000001</v>
      </c>
      <c r="G8">
        <v>544.34900000000005</v>
      </c>
      <c r="H8">
        <v>544.10500000000002</v>
      </c>
      <c r="I8">
        <v>-6.6120000000000001</v>
      </c>
      <c r="J8">
        <v>5.7149999999999999</v>
      </c>
      <c r="K8">
        <v>545.77200000000005</v>
      </c>
      <c r="L8">
        <v>544.07399999999996</v>
      </c>
      <c r="M8">
        <v>-5.6</v>
      </c>
      <c r="N8">
        <v>5.7149999999999999</v>
      </c>
      <c r="O8">
        <v>0.3</v>
      </c>
      <c r="P8">
        <v>0</v>
      </c>
      <c r="Q8">
        <v>543.74900000000002</v>
      </c>
      <c r="R8">
        <v>544.07399999999996</v>
      </c>
      <c r="S8">
        <v>-5.3</v>
      </c>
      <c r="T8">
        <v>5.7149999999999999</v>
      </c>
      <c r="U8">
        <v>-0.6</v>
      </c>
      <c r="V8">
        <v>0</v>
      </c>
      <c r="W8">
        <v>7.6120000000000001</v>
      </c>
      <c r="X8">
        <v>6.7149999999999999</v>
      </c>
      <c r="Y8">
        <v>0</v>
      </c>
      <c r="Z8">
        <v>0</v>
      </c>
      <c r="AA8">
        <v>0</v>
      </c>
      <c r="AB8">
        <v>0</v>
      </c>
      <c r="AC8">
        <v>1</v>
      </c>
      <c r="AD8">
        <v>0</v>
      </c>
      <c r="AE8">
        <v>0</v>
      </c>
      <c r="AF8">
        <v>0</v>
      </c>
      <c r="AG8">
        <v>0</v>
      </c>
      <c r="AH8">
        <v>2.3250000000000002</v>
      </c>
      <c r="AI8">
        <v>2.726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</row>
    <row r="9" spans="1:74">
      <c r="A9">
        <v>41731.603999999999</v>
      </c>
      <c r="B9">
        <v>1.458</v>
      </c>
      <c r="C9">
        <v>3.1389999999999998</v>
      </c>
      <c r="D9">
        <v>0.52600000000000002</v>
      </c>
      <c r="E9">
        <v>-5</v>
      </c>
      <c r="F9">
        <v>6</v>
      </c>
      <c r="G9">
        <v>544.57500000000005</v>
      </c>
      <c r="H9">
        <v>544.08500000000004</v>
      </c>
      <c r="I9">
        <v>-5.9880000000000004</v>
      </c>
      <c r="J9">
        <v>8.08</v>
      </c>
      <c r="K9">
        <v>544.75099999999998</v>
      </c>
      <c r="L9">
        <v>542.69799999999998</v>
      </c>
      <c r="M9">
        <v>-5.6</v>
      </c>
      <c r="N9">
        <v>8.08</v>
      </c>
      <c r="O9">
        <v>0.3</v>
      </c>
      <c r="P9">
        <v>0</v>
      </c>
      <c r="Q9">
        <v>543.97500000000002</v>
      </c>
      <c r="R9">
        <v>542.69799999999998</v>
      </c>
      <c r="S9">
        <v>-5.3</v>
      </c>
      <c r="T9">
        <v>8.08</v>
      </c>
      <c r="U9">
        <v>-0.6</v>
      </c>
      <c r="V9">
        <v>0</v>
      </c>
      <c r="W9">
        <v>6.9880000000000004</v>
      </c>
      <c r="X9">
        <v>9.08</v>
      </c>
      <c r="Y9">
        <v>0</v>
      </c>
      <c r="Z9">
        <v>0</v>
      </c>
      <c r="AA9">
        <v>0</v>
      </c>
      <c r="AB9">
        <v>0</v>
      </c>
      <c r="AC9">
        <v>1</v>
      </c>
      <c r="AD9">
        <v>0</v>
      </c>
      <c r="AE9">
        <v>0</v>
      </c>
      <c r="AF9">
        <v>0</v>
      </c>
      <c r="AG9">
        <v>0</v>
      </c>
      <c r="AH9">
        <v>2.3250000000000002</v>
      </c>
      <c r="AI9">
        <v>2.9249999999999998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</row>
    <row r="10" spans="1:74">
      <c r="A10">
        <v>41740</v>
      </c>
      <c r="B10">
        <v>0.33200000000000002</v>
      </c>
      <c r="C10">
        <v>11.192</v>
      </c>
      <c r="D10">
        <v>1.1359999999999999</v>
      </c>
      <c r="E10">
        <v>5</v>
      </c>
      <c r="F10">
        <v>6</v>
      </c>
      <c r="G10">
        <v>544.66700000000003</v>
      </c>
      <c r="H10">
        <v>544.17700000000002</v>
      </c>
      <c r="I10">
        <v>5.6660000000000004</v>
      </c>
      <c r="J10">
        <v>9.4589999999999996</v>
      </c>
      <c r="K10">
        <v>544.22299999999996</v>
      </c>
      <c r="L10">
        <v>541.87099999999998</v>
      </c>
      <c r="M10">
        <v>6.9630000000000001</v>
      </c>
      <c r="N10">
        <v>9.4589999999999996</v>
      </c>
      <c r="O10">
        <v>1</v>
      </c>
      <c r="P10">
        <v>0</v>
      </c>
      <c r="Q10">
        <v>543.82500000000005</v>
      </c>
      <c r="R10">
        <v>541.87099999999998</v>
      </c>
      <c r="S10">
        <v>6.6630000000000003</v>
      </c>
      <c r="T10">
        <v>9.4589999999999996</v>
      </c>
      <c r="U10">
        <v>0.6</v>
      </c>
      <c r="V10">
        <v>0</v>
      </c>
      <c r="W10">
        <v>7.9630000000000001</v>
      </c>
      <c r="X10">
        <v>10.459</v>
      </c>
      <c r="Y10">
        <v>0</v>
      </c>
      <c r="Z10">
        <v>0</v>
      </c>
      <c r="AA10">
        <v>0</v>
      </c>
      <c r="AB10">
        <v>0</v>
      </c>
      <c r="AC10">
        <v>1</v>
      </c>
      <c r="AD10">
        <v>0.13400000000000001</v>
      </c>
      <c r="AE10">
        <v>0.33200000000000002</v>
      </c>
      <c r="AF10">
        <v>0</v>
      </c>
      <c r="AG10">
        <v>0</v>
      </c>
      <c r="AH10">
        <v>2.3250000000000002</v>
      </c>
      <c r="AI10">
        <v>2.9249999999999998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</row>
    <row r="11" spans="1:74">
      <c r="A11">
        <v>41757.095999999998</v>
      </c>
      <c r="B11">
        <v>0.33100000000000002</v>
      </c>
      <c r="C11">
        <v>23.484000000000002</v>
      </c>
      <c r="D11">
        <v>1.883</v>
      </c>
      <c r="E11">
        <v>5</v>
      </c>
      <c r="F11">
        <v>6</v>
      </c>
      <c r="G11">
        <v>544.85500000000002</v>
      </c>
      <c r="H11">
        <v>544.36500000000001</v>
      </c>
      <c r="I11">
        <v>6.5529999999999999</v>
      </c>
      <c r="J11">
        <v>10.984</v>
      </c>
      <c r="K11">
        <v>543.82000000000005</v>
      </c>
      <c r="L11">
        <v>541.04200000000003</v>
      </c>
      <c r="M11">
        <v>7.8460000000000001</v>
      </c>
      <c r="N11">
        <v>10.984</v>
      </c>
      <c r="O11">
        <v>1</v>
      </c>
      <c r="P11">
        <v>0</v>
      </c>
      <c r="Q11">
        <v>543.42499999999995</v>
      </c>
      <c r="R11">
        <v>541.04200000000003</v>
      </c>
      <c r="S11">
        <v>7.5460000000000003</v>
      </c>
      <c r="T11">
        <v>10.984</v>
      </c>
      <c r="U11">
        <v>0.6</v>
      </c>
      <c r="V11">
        <v>0</v>
      </c>
      <c r="W11">
        <v>8.8460000000000001</v>
      </c>
      <c r="X11">
        <v>11.984</v>
      </c>
      <c r="Y11">
        <v>0</v>
      </c>
      <c r="Z11">
        <v>0</v>
      </c>
      <c r="AA11">
        <v>0</v>
      </c>
      <c r="AB11">
        <v>0</v>
      </c>
      <c r="AC11">
        <v>1</v>
      </c>
      <c r="AD11">
        <v>0.13500000000000001</v>
      </c>
      <c r="AE11">
        <v>0.33100000000000002</v>
      </c>
      <c r="AF11">
        <v>0</v>
      </c>
      <c r="AG11">
        <v>0</v>
      </c>
      <c r="AH11">
        <v>2.3250000000000002</v>
      </c>
      <c r="AI11">
        <v>2.9249999999999998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</row>
    <row r="12" spans="1:74">
      <c r="A12">
        <v>41760</v>
      </c>
      <c r="B12">
        <v>0.33200000000000002</v>
      </c>
      <c r="C12">
        <v>22.04</v>
      </c>
      <c r="D12">
        <v>1.7989999999999999</v>
      </c>
      <c r="E12">
        <v>5</v>
      </c>
      <c r="F12">
        <v>6</v>
      </c>
      <c r="G12">
        <v>544.88699999999994</v>
      </c>
      <c r="H12">
        <v>544.39700000000005</v>
      </c>
      <c r="I12">
        <v>6.4589999999999996</v>
      </c>
      <c r="J12">
        <v>10.909000000000001</v>
      </c>
      <c r="K12">
        <v>543.91399999999999</v>
      </c>
      <c r="L12">
        <v>541.125</v>
      </c>
      <c r="M12">
        <v>7.7539999999999996</v>
      </c>
      <c r="N12">
        <v>10.909000000000001</v>
      </c>
      <c r="O12">
        <v>1</v>
      </c>
      <c r="P12">
        <v>0</v>
      </c>
      <c r="Q12">
        <v>543.51800000000003</v>
      </c>
      <c r="R12">
        <v>541.125</v>
      </c>
      <c r="S12">
        <v>7.4539999999999997</v>
      </c>
      <c r="T12">
        <v>10.909000000000001</v>
      </c>
      <c r="U12">
        <v>0.6</v>
      </c>
      <c r="V12">
        <v>0</v>
      </c>
      <c r="W12">
        <v>8.7539999999999996</v>
      </c>
      <c r="X12">
        <v>11.909000000000001</v>
      </c>
      <c r="Y12">
        <v>0</v>
      </c>
      <c r="Z12">
        <v>0</v>
      </c>
      <c r="AA12">
        <v>0</v>
      </c>
      <c r="AB12">
        <v>0</v>
      </c>
      <c r="AC12">
        <v>1</v>
      </c>
      <c r="AD12">
        <v>0.13500000000000001</v>
      </c>
      <c r="AE12">
        <v>0.33200000000000002</v>
      </c>
      <c r="AF12">
        <v>0</v>
      </c>
      <c r="AG12">
        <v>0</v>
      </c>
      <c r="AH12">
        <v>2.3250000000000002</v>
      </c>
      <c r="AI12">
        <v>2.9249999999999998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</row>
    <row r="13" spans="1:74">
      <c r="A13">
        <v>41780</v>
      </c>
      <c r="B13">
        <v>0.32700000000000001</v>
      </c>
      <c r="C13">
        <v>27.91</v>
      </c>
      <c r="D13">
        <v>2.0249999999999999</v>
      </c>
      <c r="E13">
        <v>5</v>
      </c>
      <c r="F13">
        <v>6</v>
      </c>
      <c r="G13">
        <v>545.10699999999997</v>
      </c>
      <c r="H13">
        <v>544.61699999999996</v>
      </c>
      <c r="I13">
        <v>6.5229999999999997</v>
      </c>
      <c r="J13">
        <v>12.125</v>
      </c>
      <c r="K13">
        <v>544.09199999999998</v>
      </c>
      <c r="L13">
        <v>540.53399999999999</v>
      </c>
      <c r="M13">
        <v>7.7789999999999999</v>
      </c>
      <c r="N13">
        <v>12.125</v>
      </c>
      <c r="O13">
        <v>1</v>
      </c>
      <c r="P13">
        <v>0</v>
      </c>
      <c r="Q13">
        <v>543.721</v>
      </c>
      <c r="R13">
        <v>540.53399999999999</v>
      </c>
      <c r="S13">
        <v>7.4790000000000001</v>
      </c>
      <c r="T13">
        <v>12.125</v>
      </c>
      <c r="U13">
        <v>0.6</v>
      </c>
      <c r="V13">
        <v>0</v>
      </c>
      <c r="W13">
        <v>8.7789999999999999</v>
      </c>
      <c r="X13">
        <v>13.125</v>
      </c>
      <c r="Y13">
        <v>0</v>
      </c>
      <c r="Z13">
        <v>0</v>
      </c>
      <c r="AA13">
        <v>0</v>
      </c>
      <c r="AB13">
        <v>0</v>
      </c>
      <c r="AC13">
        <v>1</v>
      </c>
      <c r="AD13">
        <v>0.151</v>
      </c>
      <c r="AE13">
        <v>0.32700000000000001</v>
      </c>
      <c r="AF13">
        <v>0</v>
      </c>
      <c r="AG13">
        <v>0</v>
      </c>
      <c r="AH13">
        <v>2.3250000000000002</v>
      </c>
      <c r="AI13">
        <v>2.9249999999999998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</row>
    <row r="14" spans="1:74">
      <c r="A14">
        <v>41782.587</v>
      </c>
      <c r="B14">
        <v>0.32500000000000001</v>
      </c>
      <c r="C14">
        <v>28.605</v>
      </c>
      <c r="D14">
        <v>2.0739999999999998</v>
      </c>
      <c r="E14">
        <v>5</v>
      </c>
      <c r="F14">
        <v>6</v>
      </c>
      <c r="G14">
        <v>545.13599999999997</v>
      </c>
      <c r="H14">
        <v>544.64599999999996</v>
      </c>
      <c r="I14">
        <v>6.5</v>
      </c>
      <c r="J14">
        <v>12.224</v>
      </c>
      <c r="K14">
        <v>544.13499999999999</v>
      </c>
      <c r="L14">
        <v>540.49599999999998</v>
      </c>
      <c r="M14">
        <v>7.7389999999999999</v>
      </c>
      <c r="N14">
        <v>12.224</v>
      </c>
      <c r="O14">
        <v>1</v>
      </c>
      <c r="P14">
        <v>0</v>
      </c>
      <c r="Q14">
        <v>543.77599999999995</v>
      </c>
      <c r="R14">
        <v>540.49599999999998</v>
      </c>
      <c r="S14">
        <v>7.4390000000000001</v>
      </c>
      <c r="T14">
        <v>12.224</v>
      </c>
      <c r="U14">
        <v>0.6</v>
      </c>
      <c r="V14">
        <v>0</v>
      </c>
      <c r="W14">
        <v>8.7390000000000008</v>
      </c>
      <c r="X14">
        <v>13.224</v>
      </c>
      <c r="Y14">
        <v>0</v>
      </c>
      <c r="Z14">
        <v>0</v>
      </c>
      <c r="AA14">
        <v>0</v>
      </c>
      <c r="AB14">
        <v>0</v>
      </c>
      <c r="AC14">
        <v>1</v>
      </c>
      <c r="AD14">
        <v>0.158</v>
      </c>
      <c r="AE14">
        <v>0.32500000000000001</v>
      </c>
      <c r="AF14">
        <v>0</v>
      </c>
      <c r="AG14">
        <v>0</v>
      </c>
      <c r="AH14">
        <v>2.3250000000000002</v>
      </c>
      <c r="AI14">
        <v>2.9249999999999998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</row>
    <row r="15" spans="1:74">
      <c r="A15">
        <v>41800</v>
      </c>
      <c r="B15">
        <v>0.32200000000000001</v>
      </c>
      <c r="C15">
        <v>27.87</v>
      </c>
      <c r="D15">
        <v>2.0369999999999999</v>
      </c>
      <c r="E15">
        <v>5</v>
      </c>
      <c r="F15">
        <v>5.5019999999999998</v>
      </c>
      <c r="G15">
        <v>545.221</v>
      </c>
      <c r="H15">
        <v>544.995</v>
      </c>
      <c r="I15">
        <v>6.2290000000000001</v>
      </c>
      <c r="J15">
        <v>12.156000000000001</v>
      </c>
      <c r="K15">
        <v>544.40200000000004</v>
      </c>
      <c r="L15">
        <v>540.55899999999997</v>
      </c>
      <c r="M15">
        <v>7.4470000000000001</v>
      </c>
      <c r="N15">
        <v>12.156000000000001</v>
      </c>
      <c r="O15">
        <v>1</v>
      </c>
      <c r="P15">
        <v>0</v>
      </c>
      <c r="Q15">
        <v>544.05700000000002</v>
      </c>
      <c r="R15">
        <v>540.55899999999997</v>
      </c>
      <c r="S15">
        <v>7.1470000000000002</v>
      </c>
      <c r="T15">
        <v>12.156000000000001</v>
      </c>
      <c r="U15">
        <v>0.6</v>
      </c>
      <c r="V15">
        <v>0</v>
      </c>
      <c r="W15">
        <v>8.4469999999999992</v>
      </c>
      <c r="X15">
        <v>13.156000000000001</v>
      </c>
      <c r="Y15">
        <v>0</v>
      </c>
      <c r="Z15">
        <v>0</v>
      </c>
      <c r="AA15">
        <v>0</v>
      </c>
      <c r="AB15">
        <v>0</v>
      </c>
      <c r="AC15">
        <v>1</v>
      </c>
      <c r="AD15">
        <v>0.16600000000000001</v>
      </c>
      <c r="AE15">
        <v>0.32200000000000001</v>
      </c>
      <c r="AF15">
        <v>0</v>
      </c>
      <c r="AG15">
        <v>0</v>
      </c>
      <c r="AH15">
        <v>2.3250000000000002</v>
      </c>
      <c r="AI15">
        <v>2.6259999999999999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</row>
    <row r="16" spans="1:74">
      <c r="A16">
        <v>41817.587</v>
      </c>
      <c r="B16">
        <v>0.32200000000000001</v>
      </c>
      <c r="C16">
        <v>20.440000000000001</v>
      </c>
      <c r="D16">
        <v>1.681</v>
      </c>
      <c r="E16">
        <v>5</v>
      </c>
      <c r="F16">
        <v>5</v>
      </c>
      <c r="G16">
        <v>545.30799999999999</v>
      </c>
      <c r="H16">
        <v>545.30799999999999</v>
      </c>
      <c r="I16">
        <v>5.6790000000000003</v>
      </c>
      <c r="J16">
        <v>10.744</v>
      </c>
      <c r="K16">
        <v>544.85500000000002</v>
      </c>
      <c r="L16">
        <v>541.47900000000004</v>
      </c>
      <c r="M16">
        <v>6.8929999999999998</v>
      </c>
      <c r="N16">
        <v>10.744</v>
      </c>
      <c r="O16">
        <v>1</v>
      </c>
      <c r="P16">
        <v>0</v>
      </c>
      <c r="Q16">
        <v>544.51300000000003</v>
      </c>
      <c r="R16">
        <v>541.47900000000004</v>
      </c>
      <c r="S16">
        <v>6.593</v>
      </c>
      <c r="T16">
        <v>10.744</v>
      </c>
      <c r="U16">
        <v>0.6</v>
      </c>
      <c r="V16">
        <v>0</v>
      </c>
      <c r="W16">
        <v>7.8929999999999998</v>
      </c>
      <c r="X16">
        <v>11.744</v>
      </c>
      <c r="Y16">
        <v>0</v>
      </c>
      <c r="Z16">
        <v>0</v>
      </c>
      <c r="AA16">
        <v>0</v>
      </c>
      <c r="AB16">
        <v>0</v>
      </c>
      <c r="AC16">
        <v>1</v>
      </c>
      <c r="AD16">
        <v>0.16800000000000001</v>
      </c>
      <c r="AE16">
        <v>0.32200000000000001</v>
      </c>
      <c r="AF16">
        <v>0</v>
      </c>
      <c r="AG16">
        <v>0</v>
      </c>
      <c r="AH16">
        <v>2.3250000000000002</v>
      </c>
      <c r="AI16">
        <v>2.3250000000000002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</row>
    <row r="17" spans="1:74">
      <c r="A17">
        <v>41820</v>
      </c>
      <c r="B17">
        <v>0.32200000000000001</v>
      </c>
      <c r="C17">
        <v>18.777999999999999</v>
      </c>
      <c r="D17">
        <v>1.649</v>
      </c>
      <c r="E17">
        <v>5.0549999999999997</v>
      </c>
      <c r="F17">
        <v>5</v>
      </c>
      <c r="G17">
        <v>545.32000000000005</v>
      </c>
      <c r="H17">
        <v>545.34900000000005</v>
      </c>
      <c r="I17">
        <v>5.7409999999999997</v>
      </c>
      <c r="J17">
        <v>10.259</v>
      </c>
      <c r="K17">
        <v>544.86300000000006</v>
      </c>
      <c r="L17">
        <v>541.84299999999996</v>
      </c>
      <c r="M17">
        <v>6.9550000000000001</v>
      </c>
      <c r="N17">
        <v>10.259</v>
      </c>
      <c r="O17">
        <v>1</v>
      </c>
      <c r="P17">
        <v>0</v>
      </c>
      <c r="Q17">
        <v>544.52</v>
      </c>
      <c r="R17">
        <v>541.84299999999996</v>
      </c>
      <c r="S17">
        <v>6.6550000000000002</v>
      </c>
      <c r="T17">
        <v>10.259</v>
      </c>
      <c r="U17">
        <v>0.6</v>
      </c>
      <c r="V17">
        <v>0</v>
      </c>
      <c r="W17">
        <v>7.9550000000000001</v>
      </c>
      <c r="X17">
        <v>11.259</v>
      </c>
      <c r="Y17">
        <v>0</v>
      </c>
      <c r="Z17">
        <v>0</v>
      </c>
      <c r="AA17">
        <v>0</v>
      </c>
      <c r="AB17">
        <v>0</v>
      </c>
      <c r="AC17">
        <v>1</v>
      </c>
      <c r="AD17">
        <v>0.16800000000000001</v>
      </c>
      <c r="AE17">
        <v>0.32200000000000001</v>
      </c>
      <c r="AF17">
        <v>0</v>
      </c>
      <c r="AG17">
        <v>0</v>
      </c>
      <c r="AH17">
        <v>2.3580000000000001</v>
      </c>
      <c r="AI17">
        <v>2.3250000000000002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8" spans="1:74">
      <c r="A18">
        <v>41840</v>
      </c>
      <c r="B18">
        <v>0.32500000000000001</v>
      </c>
      <c r="C18">
        <v>10.28</v>
      </c>
      <c r="D18">
        <v>1.3979999999999999</v>
      </c>
      <c r="E18">
        <v>5.5119999999999996</v>
      </c>
      <c r="F18">
        <v>5</v>
      </c>
      <c r="G18">
        <v>545.36900000000003</v>
      </c>
      <c r="H18">
        <v>545.65899999999999</v>
      </c>
      <c r="I18">
        <v>5.8869999999999996</v>
      </c>
      <c r="J18">
        <v>7.6029999999999998</v>
      </c>
      <c r="K18">
        <v>545.11900000000003</v>
      </c>
      <c r="L18">
        <v>543.92399999999998</v>
      </c>
      <c r="M18">
        <v>7.1269999999999998</v>
      </c>
      <c r="N18">
        <v>7.6029999999999998</v>
      </c>
      <c r="O18">
        <v>1</v>
      </c>
      <c r="P18">
        <v>0</v>
      </c>
      <c r="Q18">
        <v>544.76</v>
      </c>
      <c r="R18">
        <v>543.92399999999998</v>
      </c>
      <c r="S18">
        <v>6.827</v>
      </c>
      <c r="T18">
        <v>7.6029999999999998</v>
      </c>
      <c r="U18">
        <v>0.6</v>
      </c>
      <c r="V18">
        <v>0</v>
      </c>
      <c r="W18">
        <v>8.1270000000000007</v>
      </c>
      <c r="X18">
        <v>8.6029999999999998</v>
      </c>
      <c r="Y18">
        <v>0</v>
      </c>
      <c r="Z18">
        <v>0</v>
      </c>
      <c r="AA18">
        <v>0</v>
      </c>
      <c r="AB18">
        <v>0</v>
      </c>
      <c r="AC18">
        <v>1</v>
      </c>
      <c r="AD18">
        <v>0.157</v>
      </c>
      <c r="AE18">
        <v>0.32500000000000001</v>
      </c>
      <c r="AF18">
        <v>0</v>
      </c>
      <c r="AG18">
        <v>0</v>
      </c>
      <c r="AH18">
        <v>2.6320000000000001</v>
      </c>
      <c r="AI18">
        <v>2.3250000000000002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</row>
    <row r="19" spans="1:74">
      <c r="A19">
        <v>41852.587</v>
      </c>
      <c r="B19">
        <v>16.539000000000001</v>
      </c>
      <c r="C19">
        <v>0</v>
      </c>
      <c r="D19">
        <v>-0.78</v>
      </c>
      <c r="E19">
        <v>-5.8</v>
      </c>
      <c r="F19">
        <v>-5</v>
      </c>
      <c r="G19">
        <v>545.31200000000001</v>
      </c>
      <c r="H19">
        <v>545.79200000000003</v>
      </c>
      <c r="I19">
        <v>-7.3120000000000003</v>
      </c>
      <c r="J19">
        <v>-6.13</v>
      </c>
      <c r="K19">
        <v>546.53599999999994</v>
      </c>
      <c r="L19">
        <v>546.25300000000004</v>
      </c>
      <c r="M19">
        <v>-6.4</v>
      </c>
      <c r="N19">
        <v>-5.6</v>
      </c>
      <c r="O19">
        <v>0.3</v>
      </c>
      <c r="P19">
        <v>0.3</v>
      </c>
      <c r="Q19">
        <v>544.71199999999999</v>
      </c>
      <c r="R19">
        <v>545.19200000000001</v>
      </c>
      <c r="S19">
        <v>-6.1</v>
      </c>
      <c r="T19">
        <v>-5.3</v>
      </c>
      <c r="U19">
        <v>-0.6</v>
      </c>
      <c r="V19">
        <v>-0.6</v>
      </c>
      <c r="W19">
        <v>8.3119999999999994</v>
      </c>
      <c r="X19">
        <v>7.13</v>
      </c>
      <c r="Y19">
        <v>0</v>
      </c>
      <c r="Z19">
        <v>0</v>
      </c>
      <c r="AA19">
        <v>0</v>
      </c>
      <c r="AB19">
        <v>0</v>
      </c>
      <c r="AC19">
        <v>1</v>
      </c>
      <c r="AD19">
        <v>0</v>
      </c>
      <c r="AE19">
        <v>0</v>
      </c>
      <c r="AF19">
        <v>0</v>
      </c>
      <c r="AG19">
        <v>0</v>
      </c>
      <c r="AH19">
        <v>2.8050000000000002</v>
      </c>
      <c r="AI19">
        <v>2.3250000000000002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</row>
    <row r="20" spans="1:74">
      <c r="A20">
        <v>41860</v>
      </c>
      <c r="B20">
        <v>35.01</v>
      </c>
      <c r="C20">
        <v>0</v>
      </c>
      <c r="D20">
        <v>-2.0939999999999999</v>
      </c>
      <c r="E20">
        <v>-5.8</v>
      </c>
      <c r="F20">
        <v>-5</v>
      </c>
      <c r="G20">
        <v>545.32100000000003</v>
      </c>
      <c r="H20">
        <v>545.80100000000004</v>
      </c>
      <c r="I20">
        <v>-7.952</v>
      </c>
      <c r="J20">
        <v>-6.8010000000000002</v>
      </c>
      <c r="K20">
        <v>547.82500000000005</v>
      </c>
      <c r="L20">
        <v>547.60299999999995</v>
      </c>
      <c r="M20">
        <v>-6.4</v>
      </c>
      <c r="N20">
        <v>-5.6</v>
      </c>
      <c r="O20">
        <v>0.3</v>
      </c>
      <c r="P20">
        <v>0.3</v>
      </c>
      <c r="Q20">
        <v>544.721</v>
      </c>
      <c r="R20">
        <v>545.20100000000002</v>
      </c>
      <c r="S20">
        <v>-6.1</v>
      </c>
      <c r="T20">
        <v>-5.3</v>
      </c>
      <c r="U20">
        <v>-0.6</v>
      </c>
      <c r="V20">
        <v>-0.6</v>
      </c>
      <c r="W20">
        <v>8.952</v>
      </c>
      <c r="X20">
        <v>7.8010000000000002</v>
      </c>
      <c r="Y20">
        <v>0</v>
      </c>
      <c r="Z20">
        <v>0</v>
      </c>
      <c r="AA20">
        <v>0</v>
      </c>
      <c r="AB20">
        <v>0</v>
      </c>
      <c r="AC20">
        <v>1</v>
      </c>
      <c r="AD20">
        <v>0</v>
      </c>
      <c r="AE20">
        <v>0</v>
      </c>
      <c r="AF20">
        <v>0</v>
      </c>
      <c r="AG20">
        <v>0</v>
      </c>
      <c r="AH20">
        <v>2.8050000000000002</v>
      </c>
      <c r="AI20">
        <v>2.3250000000000002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</row>
    <row r="21" spans="1:74">
      <c r="A21">
        <v>41880</v>
      </c>
      <c r="B21">
        <v>72.442999999999998</v>
      </c>
      <c r="C21">
        <v>0</v>
      </c>
      <c r="D21">
        <v>-4.452</v>
      </c>
      <c r="E21">
        <v>-5.8</v>
      </c>
      <c r="F21">
        <v>-5</v>
      </c>
      <c r="G21">
        <v>545.25800000000004</v>
      </c>
      <c r="H21">
        <v>545.73800000000006</v>
      </c>
      <c r="I21">
        <v>-9.0709999999999997</v>
      </c>
      <c r="J21">
        <v>-8.0310000000000006</v>
      </c>
      <c r="K21">
        <v>550</v>
      </c>
      <c r="L21">
        <v>550</v>
      </c>
      <c r="M21">
        <v>-6.4</v>
      </c>
      <c r="N21">
        <v>-5.6</v>
      </c>
      <c r="O21">
        <v>0.3</v>
      </c>
      <c r="P21">
        <v>0.3</v>
      </c>
      <c r="Q21">
        <v>544.65800000000002</v>
      </c>
      <c r="R21">
        <v>545.13800000000003</v>
      </c>
      <c r="S21">
        <v>-6.1</v>
      </c>
      <c r="T21">
        <v>-5.3</v>
      </c>
      <c r="U21">
        <v>-0.6</v>
      </c>
      <c r="V21">
        <v>-0.6</v>
      </c>
      <c r="W21">
        <v>10.071</v>
      </c>
      <c r="X21">
        <v>9.0310000000000006</v>
      </c>
      <c r="Y21">
        <v>0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0</v>
      </c>
      <c r="AH21">
        <v>2.8050000000000002</v>
      </c>
      <c r="AI21">
        <v>2.3250000000000002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</row>
    <row r="22" spans="1:74">
      <c r="A22">
        <v>41900</v>
      </c>
      <c r="B22">
        <v>75.756</v>
      </c>
      <c r="C22">
        <v>0</v>
      </c>
      <c r="D22">
        <v>-4.6449999999999996</v>
      </c>
      <c r="E22">
        <v>-5.8</v>
      </c>
      <c r="F22">
        <v>-5</v>
      </c>
      <c r="G22">
        <v>545.06500000000005</v>
      </c>
      <c r="H22">
        <v>545.54499999999996</v>
      </c>
      <c r="I22">
        <v>-9.1679999999999993</v>
      </c>
      <c r="J22">
        <v>-8.1280000000000001</v>
      </c>
      <c r="K22">
        <v>550</v>
      </c>
      <c r="L22">
        <v>550</v>
      </c>
      <c r="M22">
        <v>-6.4</v>
      </c>
      <c r="N22">
        <v>-5.6</v>
      </c>
      <c r="O22">
        <v>0.3</v>
      </c>
      <c r="P22">
        <v>0.3</v>
      </c>
      <c r="Q22">
        <v>544.46500000000003</v>
      </c>
      <c r="R22">
        <v>544.94500000000005</v>
      </c>
      <c r="S22">
        <v>-6.1</v>
      </c>
      <c r="T22">
        <v>-5.3</v>
      </c>
      <c r="U22">
        <v>-0.6</v>
      </c>
      <c r="V22">
        <v>-0.6</v>
      </c>
      <c r="W22">
        <v>10.167999999999999</v>
      </c>
      <c r="X22">
        <v>9.1280000000000001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0</v>
      </c>
      <c r="AF22">
        <v>0</v>
      </c>
      <c r="AG22">
        <v>0</v>
      </c>
      <c r="AH22">
        <v>2.8050000000000002</v>
      </c>
      <c r="AI22">
        <v>2.3250000000000002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</row>
    <row r="23" spans="1:74">
      <c r="A23">
        <v>41920</v>
      </c>
      <c r="B23">
        <v>81.370999999999995</v>
      </c>
      <c r="C23">
        <v>0</v>
      </c>
      <c r="D23">
        <v>-4.9669999999999996</v>
      </c>
      <c r="E23">
        <v>-5.8</v>
      </c>
      <c r="F23">
        <v>-5</v>
      </c>
      <c r="G23">
        <v>544.74300000000005</v>
      </c>
      <c r="H23">
        <v>545.22299999999996</v>
      </c>
      <c r="I23">
        <v>-9.3279999999999994</v>
      </c>
      <c r="J23">
        <v>-8.2880000000000003</v>
      </c>
      <c r="K23">
        <v>550</v>
      </c>
      <c r="L23">
        <v>550</v>
      </c>
      <c r="M23">
        <v>-6.4</v>
      </c>
      <c r="N23">
        <v>-5.6</v>
      </c>
      <c r="O23">
        <v>0.3</v>
      </c>
      <c r="P23">
        <v>0.3</v>
      </c>
      <c r="Q23">
        <v>544.14300000000003</v>
      </c>
      <c r="R23">
        <v>544.62300000000005</v>
      </c>
      <c r="S23">
        <v>-6.1</v>
      </c>
      <c r="T23">
        <v>-5.3</v>
      </c>
      <c r="U23">
        <v>-0.6</v>
      </c>
      <c r="V23">
        <v>-0.6</v>
      </c>
      <c r="W23">
        <v>10.327999999999999</v>
      </c>
      <c r="X23">
        <v>9.2880000000000003</v>
      </c>
      <c r="Y23">
        <v>0</v>
      </c>
      <c r="Z23">
        <v>0</v>
      </c>
      <c r="AA23">
        <v>0</v>
      </c>
      <c r="AB23">
        <v>0</v>
      </c>
      <c r="AC23">
        <v>1</v>
      </c>
      <c r="AD23">
        <v>0</v>
      </c>
      <c r="AE23">
        <v>0</v>
      </c>
      <c r="AF23">
        <v>0</v>
      </c>
      <c r="AG23">
        <v>0</v>
      </c>
      <c r="AH23">
        <v>2.8050000000000002</v>
      </c>
      <c r="AI23">
        <v>2.3250000000000002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</row>
    <row r="24" spans="1:74">
      <c r="A24">
        <v>41930.243000000002</v>
      </c>
      <c r="B24">
        <v>85.176000000000002</v>
      </c>
      <c r="C24">
        <v>0</v>
      </c>
      <c r="D24">
        <v>-5.181</v>
      </c>
      <c r="E24">
        <v>-5.8</v>
      </c>
      <c r="F24">
        <v>-5</v>
      </c>
      <c r="G24">
        <v>544.529</v>
      </c>
      <c r="H24">
        <v>545.00900000000001</v>
      </c>
      <c r="I24">
        <v>-9.4359999999999999</v>
      </c>
      <c r="J24">
        <v>-8.3960000000000008</v>
      </c>
      <c r="K24">
        <v>550</v>
      </c>
      <c r="L24">
        <v>550</v>
      </c>
      <c r="M24">
        <v>-6.4</v>
      </c>
      <c r="N24">
        <v>-5.6</v>
      </c>
      <c r="O24">
        <v>0.3</v>
      </c>
      <c r="P24">
        <v>0.3</v>
      </c>
      <c r="Q24">
        <v>543.92899999999997</v>
      </c>
      <c r="R24">
        <v>544.40899999999999</v>
      </c>
      <c r="S24">
        <v>-6.1</v>
      </c>
      <c r="T24">
        <v>-5.3</v>
      </c>
      <c r="U24">
        <v>-0.6</v>
      </c>
      <c r="V24">
        <v>-0.6</v>
      </c>
      <c r="W24">
        <v>10.436</v>
      </c>
      <c r="X24">
        <v>9.3960000000000008</v>
      </c>
      <c r="Y24">
        <v>0</v>
      </c>
      <c r="Z24">
        <v>0</v>
      </c>
      <c r="AA24">
        <v>0</v>
      </c>
      <c r="AB24">
        <v>0</v>
      </c>
      <c r="AC24">
        <v>1</v>
      </c>
      <c r="AD24">
        <v>0</v>
      </c>
      <c r="AE24">
        <v>0</v>
      </c>
      <c r="AF24">
        <v>0</v>
      </c>
      <c r="AG24">
        <v>0</v>
      </c>
      <c r="AH24">
        <v>2.8050000000000002</v>
      </c>
      <c r="AI24">
        <v>2.3250000000000002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</row>
    <row r="25" spans="1:74">
      <c r="A25">
        <v>41940</v>
      </c>
      <c r="B25">
        <v>89.412000000000006</v>
      </c>
      <c r="C25">
        <v>0</v>
      </c>
      <c r="D25">
        <v>-5.4169999999999998</v>
      </c>
      <c r="E25">
        <v>-5.8</v>
      </c>
      <c r="F25">
        <v>-5</v>
      </c>
      <c r="G25">
        <v>544.29300000000001</v>
      </c>
      <c r="H25">
        <v>544.77300000000002</v>
      </c>
      <c r="I25">
        <v>-9.5540000000000003</v>
      </c>
      <c r="J25">
        <v>-8.5139999999999993</v>
      </c>
      <c r="K25">
        <v>550</v>
      </c>
      <c r="L25">
        <v>550</v>
      </c>
      <c r="M25">
        <v>-6.4</v>
      </c>
      <c r="N25">
        <v>-5.6</v>
      </c>
      <c r="O25">
        <v>0.3</v>
      </c>
      <c r="P25">
        <v>0.3</v>
      </c>
      <c r="Q25">
        <v>543.69299999999998</v>
      </c>
      <c r="R25">
        <v>544.173</v>
      </c>
      <c r="S25">
        <v>-6.1</v>
      </c>
      <c r="T25">
        <v>-5.3</v>
      </c>
      <c r="U25">
        <v>-0.6</v>
      </c>
      <c r="V25">
        <v>-0.6</v>
      </c>
      <c r="W25">
        <v>10.554</v>
      </c>
      <c r="X25">
        <v>9.5139999999999993</v>
      </c>
      <c r="Y25">
        <v>0</v>
      </c>
      <c r="Z25">
        <v>0</v>
      </c>
      <c r="AA25">
        <v>0</v>
      </c>
      <c r="AB25">
        <v>0</v>
      </c>
      <c r="AC25">
        <v>1</v>
      </c>
      <c r="AD25">
        <v>0</v>
      </c>
      <c r="AE25">
        <v>0</v>
      </c>
      <c r="AF25">
        <v>0</v>
      </c>
      <c r="AG25">
        <v>0</v>
      </c>
      <c r="AH25">
        <v>2.8050000000000002</v>
      </c>
      <c r="AI25">
        <v>2.3250000000000002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</row>
    <row r="26" spans="1:74">
      <c r="A26">
        <v>41960</v>
      </c>
      <c r="B26">
        <v>99.912999999999997</v>
      </c>
      <c r="C26">
        <v>0</v>
      </c>
      <c r="D26">
        <v>-5.9889999999999999</v>
      </c>
      <c r="E26">
        <v>-5.8</v>
      </c>
      <c r="F26">
        <v>-5</v>
      </c>
      <c r="G26">
        <v>543.721</v>
      </c>
      <c r="H26">
        <v>544.20100000000002</v>
      </c>
      <c r="I26">
        <v>-9.84</v>
      </c>
      <c r="J26">
        <v>-8.8000000000000007</v>
      </c>
      <c r="K26">
        <v>550</v>
      </c>
      <c r="L26">
        <v>550</v>
      </c>
      <c r="M26">
        <v>-6.4</v>
      </c>
      <c r="N26">
        <v>-5.6</v>
      </c>
      <c r="O26">
        <v>0.3</v>
      </c>
      <c r="P26">
        <v>0.3</v>
      </c>
      <c r="Q26">
        <v>543.12099999999998</v>
      </c>
      <c r="R26">
        <v>543.601</v>
      </c>
      <c r="S26">
        <v>-6.1</v>
      </c>
      <c r="T26">
        <v>-5.3</v>
      </c>
      <c r="U26">
        <v>-0.6</v>
      </c>
      <c r="V26">
        <v>-0.6</v>
      </c>
      <c r="W26">
        <v>10.84</v>
      </c>
      <c r="X26">
        <v>9.8000000000000007</v>
      </c>
      <c r="Y26">
        <v>0</v>
      </c>
      <c r="Z26">
        <v>0</v>
      </c>
      <c r="AA26">
        <v>0</v>
      </c>
      <c r="AB26">
        <v>0</v>
      </c>
      <c r="AC26">
        <v>1</v>
      </c>
      <c r="AD26">
        <v>0</v>
      </c>
      <c r="AE26">
        <v>0</v>
      </c>
      <c r="AF26">
        <v>0</v>
      </c>
      <c r="AG26">
        <v>0</v>
      </c>
      <c r="AH26">
        <v>2.8050000000000002</v>
      </c>
      <c r="AI26">
        <v>2.3250000000000002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</row>
    <row r="27" spans="1:74">
      <c r="A27">
        <v>41980</v>
      </c>
      <c r="B27">
        <v>105.43300000000001</v>
      </c>
      <c r="C27">
        <v>0</v>
      </c>
      <c r="D27">
        <v>-6.59</v>
      </c>
      <c r="E27">
        <v>-5.8</v>
      </c>
      <c r="F27">
        <v>-5</v>
      </c>
      <c r="G27">
        <v>543.12</v>
      </c>
      <c r="H27">
        <v>543.6</v>
      </c>
      <c r="I27">
        <v>-9.1859999999999999</v>
      </c>
      <c r="J27">
        <v>-9.1</v>
      </c>
      <c r="K27">
        <v>548.09199999999998</v>
      </c>
      <c r="L27">
        <v>550</v>
      </c>
      <c r="M27">
        <v>-6.4</v>
      </c>
      <c r="N27">
        <v>-5.6</v>
      </c>
      <c r="O27">
        <v>0.3</v>
      </c>
      <c r="P27">
        <v>0.3</v>
      </c>
      <c r="Q27">
        <v>542.52</v>
      </c>
      <c r="R27">
        <v>543</v>
      </c>
      <c r="S27">
        <v>-6.1</v>
      </c>
      <c r="T27">
        <v>-5.3</v>
      </c>
      <c r="U27">
        <v>-0.6</v>
      </c>
      <c r="V27">
        <v>-0.6</v>
      </c>
      <c r="W27">
        <v>10.186</v>
      </c>
      <c r="X27">
        <v>10.1</v>
      </c>
      <c r="Y27">
        <v>0</v>
      </c>
      <c r="Z27">
        <v>0</v>
      </c>
      <c r="AA27">
        <v>0</v>
      </c>
      <c r="AB27">
        <v>0</v>
      </c>
      <c r="AC27">
        <v>1</v>
      </c>
      <c r="AD27">
        <v>0</v>
      </c>
      <c r="AE27">
        <v>0</v>
      </c>
      <c r="AF27">
        <v>0</v>
      </c>
      <c r="AG27">
        <v>0</v>
      </c>
      <c r="AH27">
        <v>2.8050000000000002</v>
      </c>
      <c r="AI27">
        <v>2.3250000000000002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</row>
    <row r="28" spans="1:74">
      <c r="A28">
        <v>42000</v>
      </c>
      <c r="B28">
        <v>33.68</v>
      </c>
      <c r="C28">
        <v>6.0000000000000001E-3</v>
      </c>
      <c r="D28">
        <v>-1.839</v>
      </c>
      <c r="E28">
        <v>5.8</v>
      </c>
      <c r="F28">
        <v>-5</v>
      </c>
      <c r="G28">
        <v>542.52</v>
      </c>
      <c r="H28">
        <v>543</v>
      </c>
      <c r="I28">
        <v>6.5179999999999998</v>
      </c>
      <c r="J28">
        <v>-8.4390000000000001</v>
      </c>
      <c r="K28">
        <v>542.04200000000003</v>
      </c>
      <c r="L28">
        <v>548.07899999999995</v>
      </c>
      <c r="M28">
        <v>8.1180000000000003</v>
      </c>
      <c r="N28">
        <v>-5.6</v>
      </c>
      <c r="O28">
        <v>1</v>
      </c>
      <c r="P28">
        <v>0.3</v>
      </c>
      <c r="Q28">
        <v>541.44200000000001</v>
      </c>
      <c r="R28">
        <v>542.4</v>
      </c>
      <c r="S28">
        <v>7.8179999999999996</v>
      </c>
      <c r="T28">
        <v>-5.3</v>
      </c>
      <c r="U28">
        <v>0.6</v>
      </c>
      <c r="V28">
        <v>-0.6</v>
      </c>
      <c r="W28">
        <v>9.1180000000000003</v>
      </c>
      <c r="X28">
        <v>9.4390000000000001</v>
      </c>
      <c r="Y28">
        <v>0</v>
      </c>
      <c r="Z28">
        <v>0</v>
      </c>
      <c r="AA28">
        <v>0</v>
      </c>
      <c r="AB28">
        <v>0</v>
      </c>
      <c r="AC28">
        <v>1</v>
      </c>
      <c r="AD28">
        <v>0</v>
      </c>
      <c r="AE28">
        <v>0.70299999999999996</v>
      </c>
      <c r="AF28">
        <v>0</v>
      </c>
      <c r="AG28">
        <v>0</v>
      </c>
      <c r="AH28">
        <v>2.8050000000000002</v>
      </c>
      <c r="AI28">
        <v>2.3250000000000002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</row>
    <row r="29" spans="1:74">
      <c r="A29">
        <v>42007.898999999998</v>
      </c>
      <c r="B29">
        <v>0.65200000000000002</v>
      </c>
      <c r="C29">
        <v>20.773</v>
      </c>
      <c r="D29">
        <v>2.3540000000000001</v>
      </c>
      <c r="E29">
        <v>5.8</v>
      </c>
      <c r="F29">
        <v>5</v>
      </c>
      <c r="G29">
        <v>542.28399999999999</v>
      </c>
      <c r="H29">
        <v>542.76400000000001</v>
      </c>
      <c r="I29">
        <v>9.2249999999999996</v>
      </c>
      <c r="J29">
        <v>5.5860000000000003</v>
      </c>
      <c r="K29">
        <v>540</v>
      </c>
      <c r="L29">
        <v>542.37300000000005</v>
      </c>
      <c r="M29">
        <v>10.824999999999999</v>
      </c>
      <c r="N29">
        <v>6.6079999999999997</v>
      </c>
      <c r="O29">
        <v>1</v>
      </c>
      <c r="P29">
        <v>1</v>
      </c>
      <c r="Q29">
        <v>539.4</v>
      </c>
      <c r="R29">
        <v>542.15800000000002</v>
      </c>
      <c r="S29">
        <v>10.525</v>
      </c>
      <c r="T29">
        <v>6.3079999999999998</v>
      </c>
      <c r="U29">
        <v>0.6</v>
      </c>
      <c r="V29">
        <v>0.6</v>
      </c>
      <c r="W29">
        <v>12.824999999999999</v>
      </c>
      <c r="X29">
        <v>7.6079999999999997</v>
      </c>
      <c r="Y29">
        <v>0</v>
      </c>
      <c r="Z29">
        <v>0</v>
      </c>
      <c r="AA29">
        <v>0</v>
      </c>
      <c r="AB29">
        <v>0</v>
      </c>
      <c r="AC29">
        <v>1</v>
      </c>
      <c r="AD29">
        <v>0</v>
      </c>
      <c r="AE29">
        <v>0.36</v>
      </c>
      <c r="AF29">
        <v>0.24</v>
      </c>
      <c r="AG29">
        <v>0.29199999999999998</v>
      </c>
      <c r="AH29">
        <v>2.8050000000000002</v>
      </c>
      <c r="AI29">
        <v>2.3250000000000002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</row>
    <row r="30" spans="1:74">
      <c r="A30">
        <v>42020</v>
      </c>
      <c r="B30">
        <v>1.476</v>
      </c>
      <c r="C30">
        <v>25.637</v>
      </c>
      <c r="D30">
        <v>2.21</v>
      </c>
      <c r="E30">
        <v>5.5229999999999997</v>
      </c>
      <c r="F30">
        <v>5</v>
      </c>
      <c r="G30">
        <v>542.06799999999998</v>
      </c>
      <c r="H30">
        <v>542.298</v>
      </c>
      <c r="I30">
        <v>8.625</v>
      </c>
      <c r="J30">
        <v>211.67500000000001</v>
      </c>
      <c r="K30">
        <v>540</v>
      </c>
      <c r="L30">
        <v>404.51400000000001</v>
      </c>
      <c r="M30">
        <v>10.225</v>
      </c>
      <c r="N30">
        <v>12.292999999999999</v>
      </c>
      <c r="O30">
        <v>1</v>
      </c>
      <c r="P30">
        <v>1</v>
      </c>
      <c r="Q30">
        <v>539.4</v>
      </c>
      <c r="R30">
        <v>537.90200000000004</v>
      </c>
      <c r="S30">
        <v>9.9250000000000007</v>
      </c>
      <c r="T30">
        <v>11.993</v>
      </c>
      <c r="U30">
        <v>0.6</v>
      </c>
      <c r="V30">
        <v>0.6</v>
      </c>
      <c r="W30">
        <v>12.225</v>
      </c>
      <c r="X30">
        <v>13.292999999999999</v>
      </c>
      <c r="Y30">
        <v>0</v>
      </c>
      <c r="Z30">
        <v>0</v>
      </c>
      <c r="AA30">
        <v>0</v>
      </c>
      <c r="AB30">
        <v>0</v>
      </c>
      <c r="AC30">
        <v>1</v>
      </c>
      <c r="AD30">
        <v>0</v>
      </c>
      <c r="AE30">
        <v>0.36</v>
      </c>
      <c r="AF30">
        <v>0</v>
      </c>
      <c r="AG30">
        <v>1.1160000000000001</v>
      </c>
      <c r="AH30">
        <v>2.6389999999999998</v>
      </c>
      <c r="AI30">
        <v>2.3250000000000002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</row>
    <row r="31" spans="1:74">
      <c r="A31">
        <v>42040</v>
      </c>
      <c r="B31">
        <v>0.36</v>
      </c>
      <c r="C31">
        <v>16.48</v>
      </c>
      <c r="D31">
        <v>1.917</v>
      </c>
      <c r="E31">
        <v>5.0659999999999998</v>
      </c>
      <c r="F31">
        <v>5</v>
      </c>
      <c r="G31">
        <v>541.50900000000001</v>
      </c>
      <c r="H31">
        <v>541.52800000000002</v>
      </c>
      <c r="I31">
        <v>7.33</v>
      </c>
      <c r="J31">
        <v>5.7839999999999998</v>
      </c>
      <c r="K31">
        <v>540</v>
      </c>
      <c r="L31">
        <v>537.85599999999999</v>
      </c>
      <c r="M31">
        <v>8.93</v>
      </c>
      <c r="N31">
        <v>5.7839999999999998</v>
      </c>
      <c r="O31">
        <v>1</v>
      </c>
      <c r="P31">
        <v>0</v>
      </c>
      <c r="Q31">
        <v>539.4</v>
      </c>
      <c r="R31">
        <v>537.85599999999999</v>
      </c>
      <c r="S31">
        <v>8.6300000000000008</v>
      </c>
      <c r="T31">
        <v>5.7839999999999998</v>
      </c>
      <c r="U31">
        <v>0.6</v>
      </c>
      <c r="V31">
        <v>0</v>
      </c>
      <c r="W31">
        <v>10.93</v>
      </c>
      <c r="X31">
        <v>6.7839999999999998</v>
      </c>
      <c r="Y31">
        <v>0</v>
      </c>
      <c r="Z31">
        <v>0</v>
      </c>
      <c r="AA31">
        <v>0</v>
      </c>
      <c r="AB31">
        <v>0</v>
      </c>
      <c r="AC31">
        <v>1</v>
      </c>
      <c r="AD31">
        <v>0</v>
      </c>
      <c r="AE31">
        <v>0.36</v>
      </c>
      <c r="AF31">
        <v>0</v>
      </c>
      <c r="AG31">
        <v>0</v>
      </c>
      <c r="AH31">
        <v>2.3650000000000002</v>
      </c>
      <c r="AI31">
        <v>2.3250000000000002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</row>
    <row r="32" spans="1:74">
      <c r="A32">
        <v>42042.898999999998</v>
      </c>
      <c r="B32">
        <v>0.36</v>
      </c>
      <c r="C32">
        <v>17.41</v>
      </c>
      <c r="D32">
        <v>2.2040000000000002</v>
      </c>
      <c r="E32">
        <v>5</v>
      </c>
      <c r="F32">
        <v>5</v>
      </c>
      <c r="G32">
        <v>541.423</v>
      </c>
      <c r="H32">
        <v>541.41600000000005</v>
      </c>
      <c r="I32">
        <v>7.1349999999999998</v>
      </c>
      <c r="J32">
        <v>5.7969999999999997</v>
      </c>
      <c r="K32">
        <v>540</v>
      </c>
      <c r="L32">
        <v>537.47699999999998</v>
      </c>
      <c r="M32">
        <v>8.7349999999999994</v>
      </c>
      <c r="N32">
        <v>5.7969999999999997</v>
      </c>
      <c r="O32">
        <v>1</v>
      </c>
      <c r="P32">
        <v>0</v>
      </c>
      <c r="Q32">
        <v>539.4</v>
      </c>
      <c r="R32">
        <v>537.47699999999998</v>
      </c>
      <c r="S32">
        <v>8.4350000000000005</v>
      </c>
      <c r="T32">
        <v>5.7969999999999997</v>
      </c>
      <c r="U32">
        <v>0.6</v>
      </c>
      <c r="V32">
        <v>0</v>
      </c>
      <c r="W32">
        <v>10.734999999999999</v>
      </c>
      <c r="X32">
        <v>6.7969999999999997</v>
      </c>
      <c r="Y32">
        <v>0</v>
      </c>
      <c r="Z32">
        <v>0</v>
      </c>
      <c r="AA32">
        <v>0</v>
      </c>
      <c r="AB32">
        <v>0</v>
      </c>
      <c r="AC32">
        <v>1</v>
      </c>
      <c r="AD32">
        <v>0</v>
      </c>
      <c r="AE32">
        <v>0.36</v>
      </c>
      <c r="AF32">
        <v>0</v>
      </c>
      <c r="AG32">
        <v>0</v>
      </c>
      <c r="AH32">
        <v>2.3250000000000002</v>
      </c>
      <c r="AI32">
        <v>2.3250000000000002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</row>
    <row r="33" spans="1:74">
      <c r="A33">
        <v>42060</v>
      </c>
      <c r="B33">
        <v>0.29499999999999998</v>
      </c>
      <c r="C33">
        <v>23.21</v>
      </c>
      <c r="D33">
        <v>3.1970000000000001</v>
      </c>
      <c r="E33">
        <v>5</v>
      </c>
      <c r="F33">
        <v>5</v>
      </c>
      <c r="G33">
        <v>541.01499999999999</v>
      </c>
      <c r="H33">
        <v>541.01499999999999</v>
      </c>
      <c r="I33">
        <v>6.1509999999999998</v>
      </c>
      <c r="J33">
        <v>5.8659999999999997</v>
      </c>
      <c r="K33">
        <v>540.24800000000005</v>
      </c>
      <c r="L33">
        <v>535.70100000000002</v>
      </c>
      <c r="M33">
        <v>7.1879999999999997</v>
      </c>
      <c r="N33">
        <v>5.8659999999999997</v>
      </c>
      <c r="O33">
        <v>1</v>
      </c>
      <c r="P33">
        <v>0</v>
      </c>
      <c r="Q33">
        <v>540.024</v>
      </c>
      <c r="R33">
        <v>535.70100000000002</v>
      </c>
      <c r="S33">
        <v>6.8879999999999999</v>
      </c>
      <c r="T33">
        <v>5.8659999999999997</v>
      </c>
      <c r="U33">
        <v>0.6</v>
      </c>
      <c r="V33">
        <v>0</v>
      </c>
      <c r="W33">
        <v>8.1880000000000006</v>
      </c>
      <c r="X33">
        <v>6.8659999999999997</v>
      </c>
      <c r="Y33">
        <v>0</v>
      </c>
      <c r="Z33">
        <v>0</v>
      </c>
      <c r="AA33">
        <v>0</v>
      </c>
      <c r="AB33">
        <v>0</v>
      </c>
      <c r="AC33">
        <v>1</v>
      </c>
      <c r="AD33">
        <v>0.23499999999999999</v>
      </c>
      <c r="AE33">
        <v>0.29499999999999998</v>
      </c>
      <c r="AF33">
        <v>0</v>
      </c>
      <c r="AG33">
        <v>0</v>
      </c>
      <c r="AH33">
        <v>2.3250000000000002</v>
      </c>
      <c r="AI33">
        <v>2.3250000000000002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</row>
    <row r="34" spans="1:74">
      <c r="A34">
        <v>42080</v>
      </c>
      <c r="B34">
        <v>0.10299999999999999</v>
      </c>
      <c r="C34">
        <v>23.533000000000001</v>
      </c>
      <c r="D34">
        <v>3.637</v>
      </c>
      <c r="E34">
        <v>5</v>
      </c>
      <c r="F34">
        <v>5</v>
      </c>
      <c r="G34">
        <v>540.91499999999996</v>
      </c>
      <c r="H34">
        <v>540.91499999999996</v>
      </c>
      <c r="I34">
        <v>6.2679999999999998</v>
      </c>
      <c r="J34">
        <v>5.9560000000000004</v>
      </c>
      <c r="K34">
        <v>540.91499999999996</v>
      </c>
      <c r="L34">
        <v>533.79700000000003</v>
      </c>
      <c r="M34">
        <v>5.6</v>
      </c>
      <c r="N34">
        <v>5.9560000000000004</v>
      </c>
      <c r="O34">
        <v>0</v>
      </c>
      <c r="P34">
        <v>0</v>
      </c>
      <c r="Q34">
        <v>540.31500000000005</v>
      </c>
      <c r="R34">
        <v>533.79700000000003</v>
      </c>
      <c r="S34">
        <v>5.3</v>
      </c>
      <c r="T34">
        <v>5.9560000000000004</v>
      </c>
      <c r="U34">
        <v>0.6</v>
      </c>
      <c r="V34">
        <v>0</v>
      </c>
      <c r="W34">
        <v>7.2679999999999998</v>
      </c>
      <c r="X34">
        <v>6.9560000000000004</v>
      </c>
      <c r="Y34">
        <v>0</v>
      </c>
      <c r="Z34">
        <v>0</v>
      </c>
      <c r="AA34">
        <v>0</v>
      </c>
      <c r="AB34">
        <v>0</v>
      </c>
      <c r="AC34">
        <v>1</v>
      </c>
      <c r="AD34">
        <v>0</v>
      </c>
      <c r="AE34">
        <v>0</v>
      </c>
      <c r="AF34">
        <v>0</v>
      </c>
      <c r="AG34">
        <v>0</v>
      </c>
      <c r="AH34">
        <v>2.3250000000000002</v>
      </c>
      <c r="AI34">
        <v>2.3250000000000002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</row>
    <row r="35" spans="1:74">
      <c r="A35">
        <v>42100</v>
      </c>
      <c r="B35">
        <v>0.63500000000000001</v>
      </c>
      <c r="C35">
        <v>171.036</v>
      </c>
      <c r="D35">
        <v>7.1779999999999999</v>
      </c>
      <c r="E35">
        <v>5</v>
      </c>
      <c r="F35">
        <v>5</v>
      </c>
      <c r="G35">
        <v>541.21500000000003</v>
      </c>
      <c r="H35">
        <v>541.21500000000003</v>
      </c>
      <c r="I35">
        <v>7.3029999999999999</v>
      </c>
      <c r="J35">
        <v>24.126999999999999</v>
      </c>
      <c r="K35">
        <v>539.67999999999995</v>
      </c>
      <c r="L35">
        <v>530</v>
      </c>
      <c r="M35">
        <v>8.1449999999999996</v>
      </c>
      <c r="N35">
        <v>25.727</v>
      </c>
      <c r="O35">
        <v>1</v>
      </c>
      <c r="P35">
        <v>1</v>
      </c>
      <c r="Q35">
        <v>539.58600000000001</v>
      </c>
      <c r="R35">
        <v>529.4</v>
      </c>
      <c r="S35">
        <v>7.8449999999999998</v>
      </c>
      <c r="T35">
        <v>25.427</v>
      </c>
      <c r="U35">
        <v>0.6</v>
      </c>
      <c r="V35">
        <v>0.6</v>
      </c>
      <c r="W35">
        <v>9.1449999999999996</v>
      </c>
      <c r="X35">
        <v>27.727</v>
      </c>
      <c r="Y35">
        <v>0</v>
      </c>
      <c r="Z35">
        <v>0</v>
      </c>
      <c r="AA35">
        <v>0</v>
      </c>
      <c r="AB35">
        <v>0</v>
      </c>
      <c r="AC35">
        <v>1</v>
      </c>
      <c r="AD35">
        <v>0.29199999999999998</v>
      </c>
      <c r="AE35">
        <v>0.27500000000000002</v>
      </c>
      <c r="AF35">
        <v>0</v>
      </c>
      <c r="AG35">
        <v>0.36</v>
      </c>
      <c r="AH35">
        <v>2.3250000000000002</v>
      </c>
      <c r="AI35">
        <v>2.3250000000000002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</row>
    <row r="36" spans="1:74">
      <c r="A36">
        <v>42120</v>
      </c>
      <c r="B36">
        <v>0.60399999999999998</v>
      </c>
      <c r="C36">
        <v>215.994</v>
      </c>
      <c r="D36">
        <v>9.3109999999999999</v>
      </c>
      <c r="E36">
        <v>5</v>
      </c>
      <c r="F36">
        <v>5</v>
      </c>
      <c r="G36">
        <v>541.91499999999996</v>
      </c>
      <c r="H36">
        <v>541.91499999999996</v>
      </c>
      <c r="I36">
        <v>9.5670000000000002</v>
      </c>
      <c r="J36">
        <v>25.352</v>
      </c>
      <c r="K36">
        <v>538.87099999999998</v>
      </c>
      <c r="L36">
        <v>530</v>
      </c>
      <c r="M36">
        <v>10.381</v>
      </c>
      <c r="N36">
        <v>26.952000000000002</v>
      </c>
      <c r="O36">
        <v>1</v>
      </c>
      <c r="P36">
        <v>1</v>
      </c>
      <c r="Q36">
        <v>538.79499999999996</v>
      </c>
      <c r="R36">
        <v>529.4</v>
      </c>
      <c r="S36">
        <v>10.081</v>
      </c>
      <c r="T36">
        <v>26.652000000000001</v>
      </c>
      <c r="U36">
        <v>0.6</v>
      </c>
      <c r="V36">
        <v>0.6</v>
      </c>
      <c r="W36">
        <v>11.381</v>
      </c>
      <c r="X36">
        <v>28.952000000000002</v>
      </c>
      <c r="Y36">
        <v>0</v>
      </c>
      <c r="Z36">
        <v>0</v>
      </c>
      <c r="AA36">
        <v>0</v>
      </c>
      <c r="AB36">
        <v>0</v>
      </c>
      <c r="AC36">
        <v>1</v>
      </c>
      <c r="AD36">
        <v>0.30299999999999999</v>
      </c>
      <c r="AE36">
        <v>0.24399999999999999</v>
      </c>
      <c r="AF36">
        <v>0</v>
      </c>
      <c r="AG36">
        <v>0.36</v>
      </c>
      <c r="AH36">
        <v>2.3250000000000002</v>
      </c>
      <c r="AI36">
        <v>2.3250000000000002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</row>
    <row r="37" spans="1:74">
      <c r="A37">
        <v>42128.457999999999</v>
      </c>
      <c r="B37">
        <v>0.47399999999999998</v>
      </c>
      <c r="C37">
        <v>234.905</v>
      </c>
      <c r="D37">
        <v>9.9870000000000001</v>
      </c>
      <c r="E37">
        <v>5</v>
      </c>
      <c r="F37">
        <v>5</v>
      </c>
      <c r="G37">
        <v>542.32600000000002</v>
      </c>
      <c r="H37">
        <v>542.33299999999997</v>
      </c>
      <c r="I37">
        <v>10.146000000000001</v>
      </c>
      <c r="J37">
        <v>26.082999999999998</v>
      </c>
      <c r="K37">
        <v>538.89499999999998</v>
      </c>
      <c r="L37">
        <v>530</v>
      </c>
      <c r="M37">
        <v>10.965</v>
      </c>
      <c r="N37">
        <v>26.972000000000001</v>
      </c>
      <c r="O37">
        <v>1</v>
      </c>
      <c r="P37">
        <v>1</v>
      </c>
      <c r="Q37">
        <v>538.81600000000003</v>
      </c>
      <c r="R37">
        <v>529.80700000000002</v>
      </c>
      <c r="S37">
        <v>10.664999999999999</v>
      </c>
      <c r="T37">
        <v>26.672000000000001</v>
      </c>
      <c r="U37">
        <v>0.6</v>
      </c>
      <c r="V37">
        <v>0.6</v>
      </c>
      <c r="W37">
        <v>11.965</v>
      </c>
      <c r="X37">
        <v>27.972000000000001</v>
      </c>
      <c r="Y37">
        <v>0</v>
      </c>
      <c r="Z37">
        <v>0</v>
      </c>
      <c r="AA37">
        <v>0</v>
      </c>
      <c r="AB37">
        <v>0</v>
      </c>
      <c r="AC37">
        <v>1</v>
      </c>
      <c r="AD37">
        <v>0.30199999999999999</v>
      </c>
      <c r="AE37">
        <v>0.246</v>
      </c>
      <c r="AF37">
        <v>0.26200000000000001</v>
      </c>
      <c r="AG37">
        <v>0.22900000000000001</v>
      </c>
      <c r="AH37">
        <v>2.3250000000000002</v>
      </c>
      <c r="AI37">
        <v>2.3250000000000002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</row>
    <row r="38" spans="1:74">
      <c r="A38">
        <v>42140</v>
      </c>
      <c r="B38">
        <v>0.49299999999999999</v>
      </c>
      <c r="C38">
        <v>247.00399999999999</v>
      </c>
      <c r="D38">
        <v>9.798</v>
      </c>
      <c r="E38">
        <v>5</v>
      </c>
      <c r="F38">
        <v>5</v>
      </c>
      <c r="G38">
        <v>542.98699999999997</v>
      </c>
      <c r="H38">
        <v>542.91</v>
      </c>
      <c r="I38">
        <v>10.805</v>
      </c>
      <c r="J38">
        <v>24.888000000000002</v>
      </c>
      <c r="K38">
        <v>539.11699999999996</v>
      </c>
      <c r="L38">
        <v>531.26</v>
      </c>
      <c r="M38">
        <v>11.683999999999999</v>
      </c>
      <c r="N38">
        <v>25.597999999999999</v>
      </c>
      <c r="O38">
        <v>1</v>
      </c>
      <c r="P38">
        <v>1</v>
      </c>
      <c r="Q38">
        <v>538.99800000000005</v>
      </c>
      <c r="R38">
        <v>531.16899999999998</v>
      </c>
      <c r="S38">
        <v>11.384</v>
      </c>
      <c r="T38">
        <v>25.297999999999998</v>
      </c>
      <c r="U38">
        <v>0.6</v>
      </c>
      <c r="V38">
        <v>0.6</v>
      </c>
      <c r="W38">
        <v>12.683999999999999</v>
      </c>
      <c r="X38">
        <v>26.597999999999999</v>
      </c>
      <c r="Y38">
        <v>0</v>
      </c>
      <c r="Z38">
        <v>0</v>
      </c>
      <c r="AA38">
        <v>0</v>
      </c>
      <c r="AB38">
        <v>0</v>
      </c>
      <c r="AC38">
        <v>1</v>
      </c>
      <c r="AD38">
        <v>0.28599999999999998</v>
      </c>
      <c r="AE38">
        <v>0.26200000000000001</v>
      </c>
      <c r="AF38">
        <v>0.27800000000000002</v>
      </c>
      <c r="AG38">
        <v>0.23100000000000001</v>
      </c>
      <c r="AH38">
        <v>2.3250000000000002</v>
      </c>
      <c r="AI38">
        <v>2.3250000000000002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</row>
    <row r="39" spans="1:74">
      <c r="A39">
        <v>42160</v>
      </c>
      <c r="B39">
        <v>0.51900000000000002</v>
      </c>
      <c r="C39">
        <v>252.78700000000001</v>
      </c>
      <c r="D39">
        <v>9.0709999999999997</v>
      </c>
      <c r="E39">
        <v>5</v>
      </c>
      <c r="F39">
        <v>5</v>
      </c>
      <c r="G39">
        <v>544.13300000000004</v>
      </c>
      <c r="H39">
        <v>543.84</v>
      </c>
      <c r="I39">
        <v>11.476000000000001</v>
      </c>
      <c r="J39">
        <v>25.356000000000002</v>
      </c>
      <c r="K39">
        <v>539.81500000000005</v>
      </c>
      <c r="L39">
        <v>531.92200000000003</v>
      </c>
      <c r="M39">
        <v>12.456</v>
      </c>
      <c r="N39">
        <v>26.076000000000001</v>
      </c>
      <c r="O39">
        <v>1</v>
      </c>
      <c r="P39">
        <v>1</v>
      </c>
      <c r="Q39">
        <v>539.62800000000004</v>
      </c>
      <c r="R39">
        <v>531.82500000000005</v>
      </c>
      <c r="S39">
        <v>12.156000000000001</v>
      </c>
      <c r="T39">
        <v>25.776</v>
      </c>
      <c r="U39">
        <v>0.6</v>
      </c>
      <c r="V39">
        <v>0.6</v>
      </c>
      <c r="W39">
        <v>13.456</v>
      </c>
      <c r="X39">
        <v>27.076000000000001</v>
      </c>
      <c r="Y39">
        <v>0</v>
      </c>
      <c r="Z39">
        <v>0</v>
      </c>
      <c r="AA39">
        <v>0</v>
      </c>
      <c r="AB39">
        <v>0</v>
      </c>
      <c r="AC39">
        <v>1</v>
      </c>
      <c r="AD39">
        <v>0.255</v>
      </c>
      <c r="AE39">
        <v>0.28399999999999997</v>
      </c>
      <c r="AF39">
        <v>0.27700000000000002</v>
      </c>
      <c r="AG39">
        <v>0.23400000000000001</v>
      </c>
      <c r="AH39">
        <v>2.3250000000000002</v>
      </c>
      <c r="AI39">
        <v>2.3250000000000002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</row>
    <row r="40" spans="1:74">
      <c r="A40">
        <v>42163.457999999999</v>
      </c>
      <c r="B40">
        <v>0.497</v>
      </c>
      <c r="C40">
        <v>255.459</v>
      </c>
      <c r="D40">
        <v>9.1739999999999995</v>
      </c>
      <c r="E40">
        <v>5</v>
      </c>
      <c r="F40">
        <v>5</v>
      </c>
      <c r="G40">
        <v>544.33100000000002</v>
      </c>
      <c r="H40">
        <v>543.98299999999995</v>
      </c>
      <c r="I40">
        <v>11.628</v>
      </c>
      <c r="J40">
        <v>25.31</v>
      </c>
      <c r="K40">
        <v>539.91200000000003</v>
      </c>
      <c r="L40">
        <v>532.09199999999998</v>
      </c>
      <c r="M40">
        <v>12.617000000000001</v>
      </c>
      <c r="N40">
        <v>25.962</v>
      </c>
      <c r="O40">
        <v>1</v>
      </c>
      <c r="P40">
        <v>1</v>
      </c>
      <c r="Q40">
        <v>539.72</v>
      </c>
      <c r="R40">
        <v>532.03399999999999</v>
      </c>
      <c r="S40">
        <v>12.317</v>
      </c>
      <c r="T40">
        <v>25.661999999999999</v>
      </c>
      <c r="U40">
        <v>0.6</v>
      </c>
      <c r="V40">
        <v>0.6</v>
      </c>
      <c r="W40">
        <v>13.617000000000001</v>
      </c>
      <c r="X40">
        <v>26.962</v>
      </c>
      <c r="Y40">
        <v>0</v>
      </c>
      <c r="Z40">
        <v>0</v>
      </c>
      <c r="AA40">
        <v>0</v>
      </c>
      <c r="AB40">
        <v>0</v>
      </c>
      <c r="AC40">
        <v>1</v>
      </c>
      <c r="AD40">
        <v>0.251</v>
      </c>
      <c r="AE40">
        <v>0.28599999999999998</v>
      </c>
      <c r="AF40">
        <v>0.28399999999999997</v>
      </c>
      <c r="AG40">
        <v>0.21</v>
      </c>
      <c r="AH40">
        <v>2.3250000000000002</v>
      </c>
      <c r="AI40">
        <v>2.3250000000000002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</row>
    <row r="41" spans="1:74">
      <c r="A41">
        <v>42180</v>
      </c>
      <c r="B41">
        <v>0.49299999999999999</v>
      </c>
      <c r="C41">
        <v>282.41800000000001</v>
      </c>
      <c r="D41">
        <v>9.8770000000000007</v>
      </c>
      <c r="E41">
        <v>5</v>
      </c>
      <c r="F41">
        <v>5</v>
      </c>
      <c r="G41">
        <v>545.15800000000002</v>
      </c>
      <c r="H41">
        <v>544.80999999999995</v>
      </c>
      <c r="I41">
        <v>12.491</v>
      </c>
      <c r="J41">
        <v>25.646999999999998</v>
      </c>
      <c r="K41">
        <v>540.16399999999999</v>
      </c>
      <c r="L41">
        <v>532.726</v>
      </c>
      <c r="M41">
        <v>13.488</v>
      </c>
      <c r="N41">
        <v>26.288</v>
      </c>
      <c r="O41">
        <v>1</v>
      </c>
      <c r="P41">
        <v>1</v>
      </c>
      <c r="Q41">
        <v>539.96600000000001</v>
      </c>
      <c r="R41">
        <v>532.67499999999995</v>
      </c>
      <c r="S41">
        <v>13.188000000000001</v>
      </c>
      <c r="T41">
        <v>25.988</v>
      </c>
      <c r="U41">
        <v>0.6</v>
      </c>
      <c r="V41">
        <v>0.6</v>
      </c>
      <c r="W41">
        <v>14.488</v>
      </c>
      <c r="X41">
        <v>27.288</v>
      </c>
      <c r="Y41">
        <v>0</v>
      </c>
      <c r="Z41">
        <v>0</v>
      </c>
      <c r="AA41">
        <v>0</v>
      </c>
      <c r="AB41">
        <v>0</v>
      </c>
      <c r="AC41">
        <v>1</v>
      </c>
      <c r="AD41">
        <v>0.249</v>
      </c>
      <c r="AE41">
        <v>0.28699999999999998</v>
      </c>
      <c r="AF41">
        <v>0.28499999999999998</v>
      </c>
      <c r="AG41">
        <v>0.20599999999999999</v>
      </c>
      <c r="AH41">
        <v>2.3250000000000002</v>
      </c>
      <c r="AI41">
        <v>2.3250000000000002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</row>
    <row r="42" spans="1:74">
      <c r="A42">
        <v>42200</v>
      </c>
      <c r="B42">
        <v>0.46400000000000002</v>
      </c>
      <c r="C42">
        <v>340.31</v>
      </c>
      <c r="D42">
        <v>12.065</v>
      </c>
      <c r="E42">
        <v>5</v>
      </c>
      <c r="F42">
        <v>5</v>
      </c>
      <c r="G42">
        <v>546.15800000000002</v>
      </c>
      <c r="H42">
        <v>545.80999999999995</v>
      </c>
      <c r="I42">
        <v>14.451000000000001</v>
      </c>
      <c r="J42">
        <v>24.335999999999999</v>
      </c>
      <c r="K42">
        <v>539.85699999999997</v>
      </c>
      <c r="L42">
        <v>534.476</v>
      </c>
      <c r="M42">
        <v>15.465999999999999</v>
      </c>
      <c r="N42">
        <v>24.891999999999999</v>
      </c>
      <c r="O42">
        <v>1</v>
      </c>
      <c r="P42">
        <v>1</v>
      </c>
      <c r="Q42">
        <v>539.64700000000005</v>
      </c>
      <c r="R42">
        <v>534.47199999999998</v>
      </c>
      <c r="S42">
        <v>15.166</v>
      </c>
      <c r="T42">
        <v>24.591999999999999</v>
      </c>
      <c r="U42">
        <v>0.6</v>
      </c>
      <c r="V42">
        <v>0.6</v>
      </c>
      <c r="W42">
        <v>16.466000000000001</v>
      </c>
      <c r="X42">
        <v>25.891999999999999</v>
      </c>
      <c r="Y42">
        <v>0</v>
      </c>
      <c r="Z42">
        <v>0</v>
      </c>
      <c r="AA42">
        <v>0</v>
      </c>
      <c r="AB42">
        <v>0</v>
      </c>
      <c r="AC42">
        <v>1</v>
      </c>
      <c r="AD42">
        <v>0.24199999999999999</v>
      </c>
      <c r="AE42">
        <v>0.29199999999999998</v>
      </c>
      <c r="AF42">
        <v>0.28599999999999998</v>
      </c>
      <c r="AG42">
        <v>0.17199999999999999</v>
      </c>
      <c r="AH42">
        <v>2.3250000000000002</v>
      </c>
      <c r="AI42">
        <v>2.3250000000000002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</row>
    <row r="43" spans="1:74">
      <c r="A43">
        <v>42219.784</v>
      </c>
      <c r="B43">
        <v>0.46100000000000002</v>
      </c>
      <c r="C43">
        <v>370.66399999999999</v>
      </c>
      <c r="D43">
        <v>14.081</v>
      </c>
      <c r="E43">
        <v>5</v>
      </c>
      <c r="F43">
        <v>5</v>
      </c>
      <c r="G43">
        <v>547.14700000000005</v>
      </c>
      <c r="H43">
        <v>546.79999999999995</v>
      </c>
      <c r="I43">
        <v>19.143000000000001</v>
      </c>
      <c r="J43">
        <v>20.61</v>
      </c>
      <c r="K43">
        <v>538.78</v>
      </c>
      <c r="L43">
        <v>537.59400000000005</v>
      </c>
      <c r="M43">
        <v>20.158999999999999</v>
      </c>
      <c r="N43">
        <v>21.149000000000001</v>
      </c>
      <c r="O43">
        <v>1</v>
      </c>
      <c r="P43">
        <v>1</v>
      </c>
      <c r="Q43">
        <v>538.51300000000003</v>
      </c>
      <c r="R43">
        <v>537.6</v>
      </c>
      <c r="S43">
        <v>19.859000000000002</v>
      </c>
      <c r="T43">
        <v>20.849</v>
      </c>
      <c r="U43">
        <v>0.6</v>
      </c>
      <c r="V43">
        <v>0.6</v>
      </c>
      <c r="W43">
        <v>21.158999999999999</v>
      </c>
      <c r="X43">
        <v>22.149000000000001</v>
      </c>
      <c r="Y43">
        <v>0</v>
      </c>
      <c r="Z43">
        <v>0</v>
      </c>
      <c r="AA43">
        <v>0</v>
      </c>
      <c r="AB43">
        <v>0</v>
      </c>
      <c r="AC43">
        <v>1</v>
      </c>
      <c r="AD43">
        <v>0.20799999999999999</v>
      </c>
      <c r="AE43">
        <v>0.30099999999999999</v>
      </c>
      <c r="AF43">
        <v>0.28599999999999998</v>
      </c>
      <c r="AG43">
        <v>0.161</v>
      </c>
      <c r="AH43">
        <v>2.3250000000000002</v>
      </c>
      <c r="AI43">
        <v>2.3250000000000002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</row>
    <row r="44" spans="1:74">
      <c r="A44">
        <v>42220</v>
      </c>
      <c r="B44">
        <v>0.46100000000000002</v>
      </c>
      <c r="C44">
        <v>369.18400000000003</v>
      </c>
      <c r="D44">
        <v>14.01</v>
      </c>
      <c r="E44">
        <v>5</v>
      </c>
      <c r="F44">
        <v>5</v>
      </c>
      <c r="G44">
        <v>547.15800000000002</v>
      </c>
      <c r="H44">
        <v>546.80999999999995</v>
      </c>
      <c r="I44">
        <v>19.196000000000002</v>
      </c>
      <c r="J44">
        <v>20.576000000000001</v>
      </c>
      <c r="K44">
        <v>538.76</v>
      </c>
      <c r="L44">
        <v>537.62400000000002</v>
      </c>
      <c r="M44">
        <v>20.212</v>
      </c>
      <c r="N44">
        <v>21.114999999999998</v>
      </c>
      <c r="O44">
        <v>1</v>
      </c>
      <c r="P44">
        <v>1</v>
      </c>
      <c r="Q44">
        <v>538.49400000000003</v>
      </c>
      <c r="R44">
        <v>537.63099999999997</v>
      </c>
      <c r="S44">
        <v>19.911999999999999</v>
      </c>
      <c r="T44">
        <v>20.815000000000001</v>
      </c>
      <c r="U44">
        <v>0.6</v>
      </c>
      <c r="V44">
        <v>0.6</v>
      </c>
      <c r="W44">
        <v>21.212</v>
      </c>
      <c r="X44">
        <v>22.114999999999998</v>
      </c>
      <c r="Y44">
        <v>0</v>
      </c>
      <c r="Z44">
        <v>0</v>
      </c>
      <c r="AA44">
        <v>0</v>
      </c>
      <c r="AB44">
        <v>0</v>
      </c>
      <c r="AC44">
        <v>1</v>
      </c>
      <c r="AD44">
        <v>0.20799999999999999</v>
      </c>
      <c r="AE44">
        <v>0.30099999999999999</v>
      </c>
      <c r="AF44">
        <v>0.28599999999999998</v>
      </c>
      <c r="AG44">
        <v>0.161</v>
      </c>
      <c r="AH44">
        <v>2.3250000000000002</v>
      </c>
      <c r="AI44">
        <v>2.3250000000000002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</row>
    <row r="45" spans="1:74">
      <c r="A45">
        <v>42240</v>
      </c>
      <c r="B45">
        <v>0.64900000000000002</v>
      </c>
      <c r="C45">
        <v>191.423</v>
      </c>
      <c r="D45">
        <v>7.9980000000000002</v>
      </c>
      <c r="E45">
        <v>5</v>
      </c>
      <c r="F45">
        <v>5</v>
      </c>
      <c r="G45">
        <v>548.14599999999996</v>
      </c>
      <c r="H45">
        <v>547.798</v>
      </c>
      <c r="I45">
        <v>18.754999999999999</v>
      </c>
      <c r="J45">
        <v>16.341999999999999</v>
      </c>
      <c r="K45">
        <v>540</v>
      </c>
      <c r="L45">
        <v>540.23699999999997</v>
      </c>
      <c r="M45">
        <v>20.355</v>
      </c>
      <c r="N45">
        <v>17.349</v>
      </c>
      <c r="O45">
        <v>1</v>
      </c>
      <c r="P45">
        <v>1</v>
      </c>
      <c r="Q45">
        <v>539.4</v>
      </c>
      <c r="R45">
        <v>540.03200000000004</v>
      </c>
      <c r="S45">
        <v>20.055</v>
      </c>
      <c r="T45">
        <v>17.048999999999999</v>
      </c>
      <c r="U45">
        <v>0.6</v>
      </c>
      <c r="V45">
        <v>0.6</v>
      </c>
      <c r="W45">
        <v>22.355</v>
      </c>
      <c r="X45">
        <v>18.349</v>
      </c>
      <c r="Y45">
        <v>0</v>
      </c>
      <c r="Z45">
        <v>0</v>
      </c>
      <c r="AA45">
        <v>0</v>
      </c>
      <c r="AB45">
        <v>0</v>
      </c>
      <c r="AC45">
        <v>1</v>
      </c>
      <c r="AD45">
        <v>0</v>
      </c>
      <c r="AE45">
        <v>0.36</v>
      </c>
      <c r="AF45">
        <v>0.246</v>
      </c>
      <c r="AG45">
        <v>0.28899999999999998</v>
      </c>
      <c r="AH45">
        <v>2.3250000000000002</v>
      </c>
      <c r="AI45">
        <v>2.3250000000000002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</row>
    <row r="46" spans="1:74">
      <c r="A46">
        <v>42260</v>
      </c>
      <c r="B46">
        <v>0.66600000000000004</v>
      </c>
      <c r="C46">
        <v>170.12899999999999</v>
      </c>
      <c r="D46">
        <v>8.734</v>
      </c>
      <c r="E46">
        <v>5</v>
      </c>
      <c r="F46">
        <v>5</v>
      </c>
      <c r="G46">
        <v>549.02499999999998</v>
      </c>
      <c r="H46">
        <v>548.67700000000002</v>
      </c>
      <c r="I46">
        <v>20.292999999999999</v>
      </c>
      <c r="J46">
        <v>12.419</v>
      </c>
      <c r="K46">
        <v>540</v>
      </c>
      <c r="L46">
        <v>543.73099999999999</v>
      </c>
      <c r="M46">
        <v>21.893000000000001</v>
      </c>
      <c r="N46">
        <v>13.525</v>
      </c>
      <c r="O46">
        <v>1</v>
      </c>
      <c r="P46">
        <v>1</v>
      </c>
      <c r="Q46">
        <v>539.4</v>
      </c>
      <c r="R46">
        <v>543.46</v>
      </c>
      <c r="S46">
        <v>21.593</v>
      </c>
      <c r="T46">
        <v>13.225</v>
      </c>
      <c r="U46">
        <v>0.6</v>
      </c>
      <c r="V46">
        <v>0.6</v>
      </c>
      <c r="W46">
        <v>23.893000000000001</v>
      </c>
      <c r="X46">
        <v>14.525</v>
      </c>
      <c r="Y46">
        <v>0</v>
      </c>
      <c r="Z46">
        <v>0</v>
      </c>
      <c r="AA46">
        <v>0</v>
      </c>
      <c r="AB46">
        <v>0</v>
      </c>
      <c r="AC46">
        <v>1</v>
      </c>
      <c r="AD46">
        <v>0</v>
      </c>
      <c r="AE46">
        <v>0.36</v>
      </c>
      <c r="AF46">
        <v>0.21</v>
      </c>
      <c r="AG46">
        <v>0.30599999999999999</v>
      </c>
      <c r="AH46">
        <v>2.3250000000000002</v>
      </c>
      <c r="AI46">
        <v>2.3250000000000002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</row>
    <row r="47" spans="1:74">
      <c r="A47">
        <v>42276.110999999997</v>
      </c>
      <c r="B47">
        <v>0.68400000000000005</v>
      </c>
      <c r="C47">
        <v>99.271000000000001</v>
      </c>
      <c r="D47">
        <v>5.7039999999999997</v>
      </c>
      <c r="E47">
        <v>5</v>
      </c>
      <c r="F47">
        <v>5</v>
      </c>
      <c r="G47">
        <v>549.63900000000001</v>
      </c>
      <c r="H47">
        <v>549.29100000000005</v>
      </c>
      <c r="I47">
        <v>15.981999999999999</v>
      </c>
      <c r="J47">
        <v>9.702</v>
      </c>
      <c r="K47">
        <v>542.31799999999998</v>
      </c>
      <c r="L47">
        <v>546.15700000000004</v>
      </c>
      <c r="M47">
        <v>17.399999999999999</v>
      </c>
      <c r="N47">
        <v>10.99</v>
      </c>
      <c r="O47">
        <v>1</v>
      </c>
      <c r="P47">
        <v>1</v>
      </c>
      <c r="Q47">
        <v>541.83900000000006</v>
      </c>
      <c r="R47">
        <v>545.76499999999999</v>
      </c>
      <c r="S47">
        <v>17.100000000000001</v>
      </c>
      <c r="T47">
        <v>10.69</v>
      </c>
      <c r="U47">
        <v>0.6</v>
      </c>
      <c r="V47">
        <v>0.6</v>
      </c>
      <c r="W47">
        <v>18.399999999999999</v>
      </c>
      <c r="X47">
        <v>11.99</v>
      </c>
      <c r="Y47">
        <v>0</v>
      </c>
      <c r="Z47">
        <v>0</v>
      </c>
      <c r="AA47">
        <v>0</v>
      </c>
      <c r="AB47">
        <v>0</v>
      </c>
      <c r="AC47">
        <v>1</v>
      </c>
      <c r="AD47">
        <v>7.6999999999999999E-2</v>
      </c>
      <c r="AE47">
        <v>0.35299999999999998</v>
      </c>
      <c r="AF47">
        <v>0.13700000000000001</v>
      </c>
      <c r="AG47">
        <v>0.33100000000000002</v>
      </c>
      <c r="AH47">
        <v>2.3250000000000002</v>
      </c>
      <c r="AI47">
        <v>2.3250000000000002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</row>
    <row r="48" spans="1:74">
      <c r="A48">
        <v>42280</v>
      </c>
      <c r="B48">
        <v>0.65600000000000003</v>
      </c>
      <c r="C48">
        <v>83.039000000000001</v>
      </c>
      <c r="D48">
        <v>5.0919999999999996</v>
      </c>
      <c r="E48">
        <v>5</v>
      </c>
      <c r="F48">
        <v>5</v>
      </c>
      <c r="G48">
        <v>549.74599999999998</v>
      </c>
      <c r="H48">
        <v>549.46</v>
      </c>
      <c r="I48">
        <v>14.782</v>
      </c>
      <c r="J48">
        <v>9.2059999999999995</v>
      </c>
      <c r="K48">
        <v>543.22500000000002</v>
      </c>
      <c r="L48">
        <v>546.65599999999995</v>
      </c>
      <c r="M48">
        <v>16.170000000000002</v>
      </c>
      <c r="N48">
        <v>10.362</v>
      </c>
      <c r="O48">
        <v>1</v>
      </c>
      <c r="P48">
        <v>1</v>
      </c>
      <c r="Q48">
        <v>542.76700000000005</v>
      </c>
      <c r="R48">
        <v>546.35199999999998</v>
      </c>
      <c r="S48">
        <v>15.87</v>
      </c>
      <c r="T48">
        <v>10.061999999999999</v>
      </c>
      <c r="U48">
        <v>0.6</v>
      </c>
      <c r="V48">
        <v>0.6</v>
      </c>
      <c r="W48">
        <v>17.170000000000002</v>
      </c>
      <c r="X48">
        <v>11.362</v>
      </c>
      <c r="Y48">
        <v>0</v>
      </c>
      <c r="Z48">
        <v>0</v>
      </c>
      <c r="AA48">
        <v>0</v>
      </c>
      <c r="AB48">
        <v>0</v>
      </c>
      <c r="AC48">
        <v>1</v>
      </c>
      <c r="AD48">
        <v>9.5000000000000001E-2</v>
      </c>
      <c r="AE48">
        <v>0.34200000000000003</v>
      </c>
      <c r="AF48">
        <v>0.191</v>
      </c>
      <c r="AG48">
        <v>0.314</v>
      </c>
      <c r="AH48">
        <v>2.3250000000000002</v>
      </c>
      <c r="AI48">
        <v>2.3250000000000002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</row>
    <row r="49" spans="1:74">
      <c r="A49">
        <v>42300</v>
      </c>
      <c r="B49">
        <v>0.878</v>
      </c>
      <c r="C49">
        <v>6.0869999999999997</v>
      </c>
      <c r="D49">
        <v>0.91700000000000004</v>
      </c>
      <c r="E49">
        <v>5</v>
      </c>
      <c r="F49">
        <v>5</v>
      </c>
      <c r="G49">
        <v>550.22199999999998</v>
      </c>
      <c r="H49">
        <v>550.14800000000002</v>
      </c>
      <c r="I49">
        <v>7.6619999999999999</v>
      </c>
      <c r="J49">
        <v>5.4459999999999997</v>
      </c>
      <c r="K49">
        <v>548.447</v>
      </c>
      <c r="L49">
        <v>549.851</v>
      </c>
      <c r="M49">
        <v>9.2620000000000005</v>
      </c>
      <c r="N49">
        <v>6.8460000000000001</v>
      </c>
      <c r="O49">
        <v>1</v>
      </c>
      <c r="P49">
        <v>1</v>
      </c>
      <c r="Q49">
        <v>547.84699999999998</v>
      </c>
      <c r="R49">
        <v>549.38400000000001</v>
      </c>
      <c r="S49">
        <v>8.9619999999999997</v>
      </c>
      <c r="T49">
        <v>6.5460000000000003</v>
      </c>
      <c r="U49">
        <v>0.6</v>
      </c>
      <c r="V49">
        <v>0.6</v>
      </c>
      <c r="W49">
        <v>10.262</v>
      </c>
      <c r="X49">
        <v>7.8460000000000001</v>
      </c>
      <c r="Y49">
        <v>0</v>
      </c>
      <c r="Z49">
        <v>0</v>
      </c>
      <c r="AA49">
        <v>0</v>
      </c>
      <c r="AB49">
        <v>0</v>
      </c>
      <c r="AC49">
        <v>1</v>
      </c>
      <c r="AD49">
        <v>0</v>
      </c>
      <c r="AE49">
        <v>0.503</v>
      </c>
      <c r="AF49">
        <v>0.09</v>
      </c>
      <c r="AG49">
        <v>0.34300000000000003</v>
      </c>
      <c r="AH49">
        <v>2.3250000000000002</v>
      </c>
      <c r="AI49">
        <v>2.3250000000000002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</row>
    <row r="50" spans="1:74">
      <c r="A50">
        <v>42311.110999999997</v>
      </c>
      <c r="B50">
        <v>8.9819999999999993</v>
      </c>
      <c r="C50">
        <v>0</v>
      </c>
      <c r="D50">
        <v>0.53800000000000003</v>
      </c>
      <c r="E50">
        <v>-5</v>
      </c>
      <c r="F50">
        <v>-5</v>
      </c>
      <c r="G50">
        <v>550.43100000000004</v>
      </c>
      <c r="H50">
        <v>550.43799999999999</v>
      </c>
      <c r="I50">
        <v>-6.1710000000000003</v>
      </c>
      <c r="J50">
        <v>-7.0010000000000003</v>
      </c>
      <c r="K50">
        <v>550.97199999999998</v>
      </c>
      <c r="L50">
        <v>552.63900000000001</v>
      </c>
      <c r="M50">
        <v>-5.6</v>
      </c>
      <c r="N50">
        <v>-5.6</v>
      </c>
      <c r="O50">
        <v>0.3</v>
      </c>
      <c r="P50">
        <v>0.3</v>
      </c>
      <c r="Q50">
        <v>549.83100000000002</v>
      </c>
      <c r="R50">
        <v>549.83799999999997</v>
      </c>
      <c r="S50">
        <v>-5.3</v>
      </c>
      <c r="T50">
        <v>-5.3</v>
      </c>
      <c r="U50">
        <v>-0.6</v>
      </c>
      <c r="V50">
        <v>-0.6</v>
      </c>
      <c r="W50">
        <v>7.1710000000000003</v>
      </c>
      <c r="X50">
        <v>8.0009999999999994</v>
      </c>
      <c r="Y50">
        <v>0</v>
      </c>
      <c r="Z50">
        <v>0</v>
      </c>
      <c r="AA50">
        <v>0</v>
      </c>
      <c r="AB50">
        <v>0</v>
      </c>
      <c r="AC50">
        <v>1</v>
      </c>
      <c r="AD50">
        <v>0</v>
      </c>
      <c r="AE50">
        <v>0</v>
      </c>
      <c r="AF50">
        <v>0</v>
      </c>
      <c r="AG50">
        <v>0</v>
      </c>
      <c r="AH50">
        <v>2.3250000000000002</v>
      </c>
      <c r="AI50">
        <v>2.3250000000000002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</row>
    <row r="51" spans="1:74">
      <c r="A51">
        <v>42320</v>
      </c>
      <c r="B51">
        <v>4.5229999999999997</v>
      </c>
      <c r="C51">
        <v>0.63</v>
      </c>
      <c r="D51">
        <v>0.76</v>
      </c>
      <c r="E51">
        <v>-5</v>
      </c>
      <c r="F51">
        <v>-5</v>
      </c>
      <c r="G51">
        <v>550.65300000000002</v>
      </c>
      <c r="H51">
        <v>550.65300000000002</v>
      </c>
      <c r="I51">
        <v>-6.6219999999999999</v>
      </c>
      <c r="J51">
        <v>-6.4210000000000003</v>
      </c>
      <c r="K51">
        <v>552.09699999999998</v>
      </c>
      <c r="L51">
        <v>551.69500000000005</v>
      </c>
      <c r="M51">
        <v>-5.6</v>
      </c>
      <c r="N51">
        <v>-5.6</v>
      </c>
      <c r="O51">
        <v>0.3</v>
      </c>
      <c r="P51">
        <v>0.3</v>
      </c>
      <c r="Q51">
        <v>550.053</v>
      </c>
      <c r="R51">
        <v>550.053</v>
      </c>
      <c r="S51">
        <v>-5.3</v>
      </c>
      <c r="T51">
        <v>-5.3</v>
      </c>
      <c r="U51">
        <v>-0.6</v>
      </c>
      <c r="V51">
        <v>-0.6</v>
      </c>
      <c r="W51">
        <v>7.6219999999999999</v>
      </c>
      <c r="X51">
        <v>7.4210000000000003</v>
      </c>
      <c r="Y51">
        <v>0</v>
      </c>
      <c r="Z51">
        <v>0</v>
      </c>
      <c r="AA51">
        <v>0</v>
      </c>
      <c r="AB51">
        <v>0</v>
      </c>
      <c r="AC51">
        <v>1</v>
      </c>
      <c r="AD51">
        <v>0</v>
      </c>
      <c r="AE51">
        <v>0</v>
      </c>
      <c r="AF51">
        <v>0</v>
      </c>
      <c r="AG51">
        <v>0</v>
      </c>
      <c r="AH51">
        <v>2.3250000000000002</v>
      </c>
      <c r="AI51">
        <v>2.3250000000000002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</row>
    <row r="52" spans="1:74">
      <c r="A52">
        <v>42340</v>
      </c>
      <c r="B52">
        <v>5.2359999999999998</v>
      </c>
      <c r="C52">
        <v>5.0730000000000004</v>
      </c>
      <c r="D52">
        <v>1.01</v>
      </c>
      <c r="E52">
        <v>-5</v>
      </c>
      <c r="F52">
        <v>5</v>
      </c>
      <c r="G52">
        <v>551.15300000000002</v>
      </c>
      <c r="H52">
        <v>551.15300000000002</v>
      </c>
      <c r="I52">
        <v>-6.7190000000000003</v>
      </c>
      <c r="J52">
        <v>6.7290000000000001</v>
      </c>
      <c r="K52">
        <v>552.79</v>
      </c>
      <c r="L52">
        <v>550</v>
      </c>
      <c r="M52">
        <v>-5.6</v>
      </c>
      <c r="N52">
        <v>7.8789999999999996</v>
      </c>
      <c r="O52">
        <v>0.3</v>
      </c>
      <c r="P52">
        <v>1</v>
      </c>
      <c r="Q52">
        <v>550.553</v>
      </c>
      <c r="R52">
        <v>549.70000000000005</v>
      </c>
      <c r="S52">
        <v>-5.3</v>
      </c>
      <c r="T52">
        <v>7.5789999999999997</v>
      </c>
      <c r="U52">
        <v>-0.6</v>
      </c>
      <c r="V52">
        <v>0.6</v>
      </c>
      <c r="W52">
        <v>7.7190000000000003</v>
      </c>
      <c r="X52">
        <v>8.8789999999999996</v>
      </c>
      <c r="Y52">
        <v>0</v>
      </c>
      <c r="Z52">
        <v>0</v>
      </c>
      <c r="AA52">
        <v>0</v>
      </c>
      <c r="AB52">
        <v>0</v>
      </c>
      <c r="AC52">
        <v>1</v>
      </c>
      <c r="AD52">
        <v>0</v>
      </c>
      <c r="AE52">
        <v>0</v>
      </c>
      <c r="AF52">
        <v>0.23200000000000001</v>
      </c>
      <c r="AG52">
        <v>0.27500000000000002</v>
      </c>
      <c r="AH52">
        <v>2.3250000000000002</v>
      </c>
      <c r="AI52">
        <v>2.3250000000000002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</row>
    <row r="53" spans="1:74">
      <c r="A53">
        <v>42360</v>
      </c>
      <c r="B53">
        <v>0.68400000000000005</v>
      </c>
      <c r="C53">
        <v>108.71299999999999</v>
      </c>
      <c r="D53">
        <v>6.2930000000000001</v>
      </c>
      <c r="E53">
        <v>5</v>
      </c>
      <c r="F53">
        <v>5</v>
      </c>
      <c r="G53">
        <v>551.65300000000002</v>
      </c>
      <c r="H53">
        <v>551.65300000000002</v>
      </c>
      <c r="I53">
        <v>10.683999999999999</v>
      </c>
      <c r="J53">
        <v>15.647</v>
      </c>
      <c r="K53">
        <v>547.86400000000003</v>
      </c>
      <c r="L53">
        <v>544.55499999999995</v>
      </c>
      <c r="M53">
        <v>12.022</v>
      </c>
      <c r="N53">
        <v>17.245999999999999</v>
      </c>
      <c r="O53">
        <v>1</v>
      </c>
      <c r="P53">
        <v>1</v>
      </c>
      <c r="Q53">
        <v>547.43799999999999</v>
      </c>
      <c r="R53">
        <v>543.95500000000004</v>
      </c>
      <c r="S53">
        <v>11.722</v>
      </c>
      <c r="T53">
        <v>16.946000000000002</v>
      </c>
      <c r="U53">
        <v>0.6</v>
      </c>
      <c r="V53">
        <v>0.6</v>
      </c>
      <c r="W53">
        <v>13.022</v>
      </c>
      <c r="X53">
        <v>18.245999999999999</v>
      </c>
      <c r="Y53">
        <v>0</v>
      </c>
      <c r="Z53">
        <v>0</v>
      </c>
      <c r="AA53">
        <v>0</v>
      </c>
      <c r="AB53">
        <v>0</v>
      </c>
      <c r="AC53">
        <v>1</v>
      </c>
      <c r="AD53">
        <v>0.123</v>
      </c>
      <c r="AE53">
        <v>0.32400000000000001</v>
      </c>
      <c r="AF53">
        <v>0</v>
      </c>
      <c r="AG53">
        <v>0.36</v>
      </c>
      <c r="AH53">
        <v>2.3250000000000002</v>
      </c>
      <c r="AI53">
        <v>2.3250000000000002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</row>
    <row r="54" spans="1:74">
      <c r="A54">
        <v>42380</v>
      </c>
      <c r="B54">
        <v>0.65400000000000003</v>
      </c>
      <c r="C54">
        <v>352.75299999999999</v>
      </c>
      <c r="D54">
        <v>12.95</v>
      </c>
      <c r="E54">
        <v>5</v>
      </c>
      <c r="F54">
        <v>5</v>
      </c>
      <c r="G54">
        <v>552.15300000000002</v>
      </c>
      <c r="H54">
        <v>552.15300000000002</v>
      </c>
      <c r="I54">
        <v>19.231000000000002</v>
      </c>
      <c r="J54">
        <v>27.846</v>
      </c>
      <c r="K54">
        <v>544.15300000000002</v>
      </c>
      <c r="L54">
        <v>538.81200000000001</v>
      </c>
      <c r="M54">
        <v>19.231000000000002</v>
      </c>
      <c r="N54">
        <v>29.388000000000002</v>
      </c>
      <c r="O54">
        <v>1</v>
      </c>
      <c r="P54">
        <v>1</v>
      </c>
      <c r="Q54">
        <v>543.553</v>
      </c>
      <c r="R54">
        <v>538.245</v>
      </c>
      <c r="S54">
        <v>18.931000000000001</v>
      </c>
      <c r="T54">
        <v>29.088000000000001</v>
      </c>
      <c r="U54">
        <v>0.6</v>
      </c>
      <c r="V54">
        <v>0.6</v>
      </c>
      <c r="W54">
        <v>20.231000000000002</v>
      </c>
      <c r="X54">
        <v>30.388000000000002</v>
      </c>
      <c r="Y54">
        <v>0</v>
      </c>
      <c r="Z54">
        <v>0</v>
      </c>
      <c r="AA54">
        <v>0</v>
      </c>
      <c r="AB54">
        <v>0</v>
      </c>
      <c r="AC54">
        <v>1</v>
      </c>
      <c r="AD54">
        <v>0</v>
      </c>
      <c r="AE54">
        <v>0.36</v>
      </c>
      <c r="AF54">
        <v>2.3E-2</v>
      </c>
      <c r="AG54">
        <v>0.35599999999999998</v>
      </c>
      <c r="AH54">
        <v>2.3250000000000002</v>
      </c>
      <c r="AI54">
        <v>2.3250000000000002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</row>
    <row r="55" spans="1:74">
      <c r="A55">
        <v>42400</v>
      </c>
      <c r="B55">
        <v>0</v>
      </c>
      <c r="C55">
        <v>0</v>
      </c>
      <c r="D55">
        <v>18.832000000000001</v>
      </c>
      <c r="E55">
        <v>5</v>
      </c>
      <c r="F55">
        <v>5</v>
      </c>
      <c r="G55">
        <v>552.65300000000002</v>
      </c>
      <c r="H55">
        <v>552.65300000000002</v>
      </c>
      <c r="I55">
        <v>5</v>
      </c>
      <c r="J55">
        <v>5</v>
      </c>
      <c r="K55">
        <v>552.65300000000002</v>
      </c>
      <c r="L55">
        <v>552.65300000000002</v>
      </c>
      <c r="M55">
        <v>5</v>
      </c>
      <c r="N55">
        <v>5</v>
      </c>
      <c r="O55">
        <v>0</v>
      </c>
      <c r="P55">
        <v>0</v>
      </c>
      <c r="Q55">
        <v>552.65300000000002</v>
      </c>
      <c r="R55">
        <v>552.65300000000002</v>
      </c>
      <c r="S55">
        <v>5</v>
      </c>
      <c r="T55">
        <v>5</v>
      </c>
      <c r="U55">
        <v>0</v>
      </c>
      <c r="V55">
        <v>0</v>
      </c>
      <c r="W55">
        <v>6</v>
      </c>
      <c r="X55">
        <v>6</v>
      </c>
      <c r="Y55">
        <v>0</v>
      </c>
      <c r="Z55">
        <v>0</v>
      </c>
      <c r="AA55">
        <v>0</v>
      </c>
      <c r="AB55">
        <v>0</v>
      </c>
      <c r="AC55">
        <v>1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</row>
    <row r="56" spans="1:74">
      <c r="A56">
        <v>42420</v>
      </c>
      <c r="B56">
        <v>0</v>
      </c>
      <c r="C56">
        <v>0</v>
      </c>
      <c r="D56">
        <v>25.097000000000001</v>
      </c>
      <c r="E56">
        <v>5</v>
      </c>
      <c r="F56">
        <v>5</v>
      </c>
      <c r="G56">
        <v>553.15300000000002</v>
      </c>
      <c r="H56">
        <v>553.15300000000002</v>
      </c>
      <c r="I56">
        <v>5</v>
      </c>
      <c r="J56">
        <v>5</v>
      </c>
      <c r="K56">
        <v>553.15300000000002</v>
      </c>
      <c r="L56">
        <v>553.15300000000002</v>
      </c>
      <c r="M56">
        <v>5</v>
      </c>
      <c r="N56">
        <v>5</v>
      </c>
      <c r="O56">
        <v>0</v>
      </c>
      <c r="P56">
        <v>0</v>
      </c>
      <c r="Q56">
        <v>553.15300000000002</v>
      </c>
      <c r="R56">
        <v>553.15300000000002</v>
      </c>
      <c r="S56">
        <v>5</v>
      </c>
      <c r="T56">
        <v>5</v>
      </c>
      <c r="U56">
        <v>0</v>
      </c>
      <c r="V56">
        <v>0</v>
      </c>
      <c r="W56">
        <v>6</v>
      </c>
      <c r="X56">
        <v>6</v>
      </c>
      <c r="Y56">
        <v>0</v>
      </c>
      <c r="Z56">
        <v>0</v>
      </c>
      <c r="AA56">
        <v>0</v>
      </c>
      <c r="AB56">
        <v>0</v>
      </c>
      <c r="AC56">
        <v>1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</row>
    <row r="57" spans="1:74">
      <c r="A57">
        <v>42440</v>
      </c>
      <c r="B57">
        <v>0</v>
      </c>
      <c r="C57">
        <v>0</v>
      </c>
      <c r="D57">
        <v>32.893999999999998</v>
      </c>
      <c r="E57">
        <v>5</v>
      </c>
      <c r="F57">
        <v>5</v>
      </c>
      <c r="G57">
        <v>553.65300000000002</v>
      </c>
      <c r="H57">
        <v>553.65300000000002</v>
      </c>
      <c r="I57">
        <v>5</v>
      </c>
      <c r="J57">
        <v>5</v>
      </c>
      <c r="K57">
        <v>553.65300000000002</v>
      </c>
      <c r="L57">
        <v>553.65300000000002</v>
      </c>
      <c r="M57">
        <v>5</v>
      </c>
      <c r="N57">
        <v>5</v>
      </c>
      <c r="O57">
        <v>0</v>
      </c>
      <c r="P57">
        <v>0</v>
      </c>
      <c r="Q57">
        <v>553.65300000000002</v>
      </c>
      <c r="R57">
        <v>553.65300000000002</v>
      </c>
      <c r="S57">
        <v>5</v>
      </c>
      <c r="T57">
        <v>5</v>
      </c>
      <c r="U57">
        <v>0</v>
      </c>
      <c r="V57">
        <v>0</v>
      </c>
      <c r="W57">
        <v>6</v>
      </c>
      <c r="X57">
        <v>6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</row>
    <row r="58" spans="1:74">
      <c r="A58">
        <v>42460</v>
      </c>
      <c r="B58">
        <v>0</v>
      </c>
      <c r="C58">
        <v>0</v>
      </c>
      <c r="D58">
        <v>42.984000000000002</v>
      </c>
      <c r="E58">
        <v>5</v>
      </c>
      <c r="F58">
        <v>5</v>
      </c>
      <c r="G58">
        <v>554.15300000000002</v>
      </c>
      <c r="H58">
        <v>554.15300000000002</v>
      </c>
      <c r="I58">
        <v>5</v>
      </c>
      <c r="J58">
        <v>5</v>
      </c>
      <c r="K58">
        <v>554.15300000000002</v>
      </c>
      <c r="L58">
        <v>554.15300000000002</v>
      </c>
      <c r="M58">
        <v>5</v>
      </c>
      <c r="N58">
        <v>5</v>
      </c>
      <c r="O58">
        <v>0</v>
      </c>
      <c r="P58">
        <v>0</v>
      </c>
      <c r="Q58">
        <v>554.15300000000002</v>
      </c>
      <c r="R58">
        <v>554.15300000000002</v>
      </c>
      <c r="S58">
        <v>5</v>
      </c>
      <c r="T58">
        <v>5</v>
      </c>
      <c r="U58">
        <v>0</v>
      </c>
      <c r="V58">
        <v>0</v>
      </c>
      <c r="W58">
        <v>6</v>
      </c>
      <c r="X58">
        <v>6</v>
      </c>
      <c r="Y58">
        <v>0</v>
      </c>
      <c r="Z58">
        <v>0</v>
      </c>
      <c r="AA58">
        <v>0</v>
      </c>
      <c r="AB58">
        <v>0</v>
      </c>
      <c r="AC58">
        <v>1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</row>
    <row r="59" spans="1:74">
      <c r="A59">
        <v>42480</v>
      </c>
      <c r="B59">
        <v>0</v>
      </c>
      <c r="C59">
        <v>0</v>
      </c>
      <c r="D59">
        <v>55.366</v>
      </c>
      <c r="E59">
        <v>5</v>
      </c>
      <c r="F59">
        <v>5</v>
      </c>
      <c r="G59">
        <v>554.65300000000002</v>
      </c>
      <c r="H59">
        <v>554.65300000000002</v>
      </c>
      <c r="I59">
        <v>5</v>
      </c>
      <c r="J59">
        <v>5</v>
      </c>
      <c r="K59">
        <v>554.65300000000002</v>
      </c>
      <c r="L59">
        <v>554.65300000000002</v>
      </c>
      <c r="M59">
        <v>5</v>
      </c>
      <c r="N59">
        <v>5</v>
      </c>
      <c r="O59">
        <v>0</v>
      </c>
      <c r="P59">
        <v>0</v>
      </c>
      <c r="Q59">
        <v>554.65300000000002</v>
      </c>
      <c r="R59">
        <v>554.65300000000002</v>
      </c>
      <c r="S59">
        <v>5</v>
      </c>
      <c r="T59">
        <v>5</v>
      </c>
      <c r="U59">
        <v>0</v>
      </c>
      <c r="V59">
        <v>0</v>
      </c>
      <c r="W59">
        <v>6</v>
      </c>
      <c r="X59">
        <v>6</v>
      </c>
      <c r="Y59">
        <v>0</v>
      </c>
      <c r="Z59">
        <v>0</v>
      </c>
      <c r="AA59">
        <v>0</v>
      </c>
      <c r="AB59">
        <v>0</v>
      </c>
      <c r="AC59">
        <v>1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</row>
    <row r="60" spans="1:74">
      <c r="A60">
        <v>42500</v>
      </c>
      <c r="B60">
        <v>0</v>
      </c>
      <c r="C60">
        <v>0</v>
      </c>
      <c r="D60">
        <v>75.111999999999995</v>
      </c>
      <c r="E60">
        <v>5</v>
      </c>
      <c r="F60">
        <v>5</v>
      </c>
      <c r="G60">
        <v>555.15300000000002</v>
      </c>
      <c r="H60">
        <v>555.15300000000002</v>
      </c>
      <c r="I60">
        <v>5</v>
      </c>
      <c r="J60">
        <v>5</v>
      </c>
      <c r="K60">
        <v>555.15300000000002</v>
      </c>
      <c r="L60">
        <v>555.15300000000002</v>
      </c>
      <c r="M60">
        <v>5</v>
      </c>
      <c r="N60">
        <v>5</v>
      </c>
      <c r="O60">
        <v>0</v>
      </c>
      <c r="P60">
        <v>0</v>
      </c>
      <c r="Q60">
        <v>555.15300000000002</v>
      </c>
      <c r="R60">
        <v>555.15300000000002</v>
      </c>
      <c r="S60">
        <v>5</v>
      </c>
      <c r="T60">
        <v>5</v>
      </c>
      <c r="U60">
        <v>0</v>
      </c>
      <c r="V60">
        <v>0</v>
      </c>
      <c r="W60">
        <v>6</v>
      </c>
      <c r="X60">
        <v>6</v>
      </c>
      <c r="Y60">
        <v>0</v>
      </c>
      <c r="Z60">
        <v>0</v>
      </c>
      <c r="AA60">
        <v>0</v>
      </c>
      <c r="AB60">
        <v>0</v>
      </c>
      <c r="AC60">
        <v>1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</row>
    <row r="61" spans="1:74">
      <c r="A61">
        <v>42520</v>
      </c>
      <c r="B61">
        <v>0</v>
      </c>
      <c r="C61">
        <v>0</v>
      </c>
      <c r="D61">
        <v>89.59</v>
      </c>
      <c r="E61">
        <v>5</v>
      </c>
      <c r="F61">
        <v>5</v>
      </c>
      <c r="G61">
        <v>555.65300000000002</v>
      </c>
      <c r="H61">
        <v>555.65300000000002</v>
      </c>
      <c r="I61">
        <v>5</v>
      </c>
      <c r="J61">
        <v>5</v>
      </c>
      <c r="K61">
        <v>555.65300000000002</v>
      </c>
      <c r="L61">
        <v>555.65300000000002</v>
      </c>
      <c r="M61">
        <v>5</v>
      </c>
      <c r="N61">
        <v>5</v>
      </c>
      <c r="O61">
        <v>0</v>
      </c>
      <c r="P61">
        <v>0</v>
      </c>
      <c r="Q61">
        <v>555.65300000000002</v>
      </c>
      <c r="R61">
        <v>555.65300000000002</v>
      </c>
      <c r="S61">
        <v>5</v>
      </c>
      <c r="T61">
        <v>5</v>
      </c>
      <c r="U61">
        <v>0</v>
      </c>
      <c r="V61">
        <v>0</v>
      </c>
      <c r="W61">
        <v>6</v>
      </c>
      <c r="X61">
        <v>6</v>
      </c>
      <c r="Y61">
        <v>0</v>
      </c>
      <c r="Z61">
        <v>0</v>
      </c>
      <c r="AA61">
        <v>0</v>
      </c>
      <c r="AB61">
        <v>0</v>
      </c>
      <c r="AC61">
        <v>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</row>
    <row r="62" spans="1:74">
      <c r="A62">
        <v>42540</v>
      </c>
      <c r="B62">
        <v>0</v>
      </c>
      <c r="C62">
        <v>0</v>
      </c>
      <c r="D62">
        <v>103.61199999999999</v>
      </c>
      <c r="E62">
        <v>5</v>
      </c>
      <c r="F62">
        <v>5</v>
      </c>
      <c r="G62">
        <v>556.15300000000002</v>
      </c>
      <c r="H62">
        <v>556.15300000000002</v>
      </c>
      <c r="I62">
        <v>5</v>
      </c>
      <c r="J62">
        <v>5</v>
      </c>
      <c r="K62">
        <v>556.15300000000002</v>
      </c>
      <c r="L62">
        <v>556.15300000000002</v>
      </c>
      <c r="M62">
        <v>5</v>
      </c>
      <c r="N62">
        <v>5</v>
      </c>
      <c r="O62">
        <v>0</v>
      </c>
      <c r="P62">
        <v>0</v>
      </c>
      <c r="Q62">
        <v>556.15300000000002</v>
      </c>
      <c r="R62">
        <v>556.15300000000002</v>
      </c>
      <c r="S62">
        <v>5</v>
      </c>
      <c r="T62">
        <v>5</v>
      </c>
      <c r="U62">
        <v>0</v>
      </c>
      <c r="V62">
        <v>0</v>
      </c>
      <c r="W62">
        <v>6</v>
      </c>
      <c r="X62">
        <v>6</v>
      </c>
      <c r="Y62">
        <v>0</v>
      </c>
      <c r="Z62">
        <v>0</v>
      </c>
      <c r="AA62">
        <v>0</v>
      </c>
      <c r="AB62">
        <v>0</v>
      </c>
      <c r="AC62">
        <v>1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</row>
    <row r="63" spans="1:74">
      <c r="A63">
        <v>42560</v>
      </c>
      <c r="B63">
        <v>0</v>
      </c>
      <c r="C63">
        <v>0</v>
      </c>
      <c r="D63">
        <v>106.76</v>
      </c>
      <c r="E63">
        <v>5</v>
      </c>
      <c r="F63">
        <v>5</v>
      </c>
      <c r="G63">
        <v>556.65300000000002</v>
      </c>
      <c r="H63">
        <v>556.65300000000002</v>
      </c>
      <c r="I63">
        <v>5</v>
      </c>
      <c r="J63">
        <v>5</v>
      </c>
      <c r="K63">
        <v>556.65300000000002</v>
      </c>
      <c r="L63">
        <v>556.65300000000002</v>
      </c>
      <c r="M63">
        <v>5</v>
      </c>
      <c r="N63">
        <v>5</v>
      </c>
      <c r="O63">
        <v>0</v>
      </c>
      <c r="P63">
        <v>0</v>
      </c>
      <c r="Q63">
        <v>556.65300000000002</v>
      </c>
      <c r="R63">
        <v>556.65300000000002</v>
      </c>
      <c r="S63">
        <v>5</v>
      </c>
      <c r="T63">
        <v>5</v>
      </c>
      <c r="U63">
        <v>0</v>
      </c>
      <c r="V63">
        <v>0</v>
      </c>
      <c r="W63">
        <v>6</v>
      </c>
      <c r="X63">
        <v>6</v>
      </c>
      <c r="Y63">
        <v>0</v>
      </c>
      <c r="Z63">
        <v>0</v>
      </c>
      <c r="AA63">
        <v>0</v>
      </c>
      <c r="AB63">
        <v>0</v>
      </c>
      <c r="AC63">
        <v>1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</row>
    <row r="64" spans="1:74">
      <c r="A64">
        <v>42580</v>
      </c>
      <c r="B64">
        <v>0</v>
      </c>
      <c r="C64">
        <v>0</v>
      </c>
      <c r="D64">
        <v>107.26</v>
      </c>
      <c r="E64">
        <v>5</v>
      </c>
      <c r="F64">
        <v>5</v>
      </c>
      <c r="G64">
        <v>557.15300000000002</v>
      </c>
      <c r="H64">
        <v>557.15300000000002</v>
      </c>
      <c r="I64">
        <v>5</v>
      </c>
      <c r="J64">
        <v>5</v>
      </c>
      <c r="K64">
        <v>557.15300000000002</v>
      </c>
      <c r="L64">
        <v>557.15300000000002</v>
      </c>
      <c r="M64">
        <v>5</v>
      </c>
      <c r="N64">
        <v>5</v>
      </c>
      <c r="O64">
        <v>0</v>
      </c>
      <c r="P64">
        <v>0</v>
      </c>
      <c r="Q64">
        <v>557.15300000000002</v>
      </c>
      <c r="R64">
        <v>557.15300000000002</v>
      </c>
      <c r="S64">
        <v>5</v>
      </c>
      <c r="T64">
        <v>5</v>
      </c>
      <c r="U64">
        <v>0</v>
      </c>
      <c r="V64">
        <v>0</v>
      </c>
      <c r="W64">
        <v>6</v>
      </c>
      <c r="X64">
        <v>6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</row>
    <row r="65" spans="1:74">
      <c r="A65">
        <v>42600</v>
      </c>
      <c r="B65">
        <v>0</v>
      </c>
      <c r="C65">
        <v>0</v>
      </c>
      <c r="D65">
        <v>92.477999999999994</v>
      </c>
      <c r="E65">
        <v>5</v>
      </c>
      <c r="F65">
        <v>5</v>
      </c>
      <c r="G65">
        <v>557.65300000000002</v>
      </c>
      <c r="H65">
        <v>557.65300000000002</v>
      </c>
      <c r="I65">
        <v>5</v>
      </c>
      <c r="J65">
        <v>5</v>
      </c>
      <c r="K65">
        <v>557.65300000000002</v>
      </c>
      <c r="L65">
        <v>557.65300000000002</v>
      </c>
      <c r="M65">
        <v>5</v>
      </c>
      <c r="N65">
        <v>5</v>
      </c>
      <c r="O65">
        <v>0</v>
      </c>
      <c r="P65">
        <v>0</v>
      </c>
      <c r="Q65">
        <v>557.65300000000002</v>
      </c>
      <c r="R65">
        <v>557.65300000000002</v>
      </c>
      <c r="S65">
        <v>5</v>
      </c>
      <c r="T65">
        <v>5</v>
      </c>
      <c r="U65">
        <v>0</v>
      </c>
      <c r="V65">
        <v>0</v>
      </c>
      <c r="W65">
        <v>6</v>
      </c>
      <c r="X65">
        <v>6</v>
      </c>
      <c r="Y65">
        <v>0</v>
      </c>
      <c r="Z65">
        <v>0</v>
      </c>
      <c r="AA65">
        <v>0</v>
      </c>
      <c r="AB65">
        <v>0</v>
      </c>
      <c r="AC65">
        <v>1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</row>
    <row r="66" spans="1:74">
      <c r="A66">
        <v>42620</v>
      </c>
      <c r="B66">
        <v>0</v>
      </c>
      <c r="C66">
        <v>0</v>
      </c>
      <c r="D66">
        <v>65.745000000000005</v>
      </c>
      <c r="E66">
        <v>5</v>
      </c>
      <c r="F66">
        <v>5</v>
      </c>
      <c r="G66">
        <v>558.15300000000002</v>
      </c>
      <c r="H66">
        <v>558.15300000000002</v>
      </c>
      <c r="I66">
        <v>5</v>
      </c>
      <c r="J66">
        <v>5</v>
      </c>
      <c r="K66">
        <v>558.15300000000002</v>
      </c>
      <c r="L66">
        <v>558.15300000000002</v>
      </c>
      <c r="M66">
        <v>5</v>
      </c>
      <c r="N66">
        <v>5</v>
      </c>
      <c r="O66">
        <v>0</v>
      </c>
      <c r="P66">
        <v>0</v>
      </c>
      <c r="Q66">
        <v>558.15300000000002</v>
      </c>
      <c r="R66">
        <v>558.15300000000002</v>
      </c>
      <c r="S66">
        <v>5</v>
      </c>
      <c r="T66">
        <v>5</v>
      </c>
      <c r="U66">
        <v>0</v>
      </c>
      <c r="V66">
        <v>0</v>
      </c>
      <c r="W66">
        <v>6</v>
      </c>
      <c r="X66">
        <v>6</v>
      </c>
      <c r="Y66">
        <v>0</v>
      </c>
      <c r="Z66">
        <v>0</v>
      </c>
      <c r="AA66">
        <v>0</v>
      </c>
      <c r="AB66">
        <v>0</v>
      </c>
      <c r="AC66">
        <v>1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</row>
    <row r="67" spans="1:74">
      <c r="A67">
        <v>42640</v>
      </c>
      <c r="B67">
        <v>0</v>
      </c>
      <c r="C67">
        <v>0</v>
      </c>
      <c r="D67">
        <v>28.812999999999999</v>
      </c>
      <c r="E67">
        <v>5</v>
      </c>
      <c r="F67">
        <v>5</v>
      </c>
      <c r="G67">
        <v>558.65300000000002</v>
      </c>
      <c r="H67">
        <v>558.65300000000002</v>
      </c>
      <c r="I67">
        <v>5</v>
      </c>
      <c r="J67">
        <v>5</v>
      </c>
      <c r="K67">
        <v>558.65300000000002</v>
      </c>
      <c r="L67">
        <v>558.65300000000002</v>
      </c>
      <c r="M67">
        <v>5</v>
      </c>
      <c r="N67">
        <v>5</v>
      </c>
      <c r="O67">
        <v>0</v>
      </c>
      <c r="P67">
        <v>0</v>
      </c>
      <c r="Q67">
        <v>558.65300000000002</v>
      </c>
      <c r="R67">
        <v>558.65300000000002</v>
      </c>
      <c r="S67">
        <v>5</v>
      </c>
      <c r="T67">
        <v>5</v>
      </c>
      <c r="U67">
        <v>0</v>
      </c>
      <c r="V67">
        <v>0</v>
      </c>
      <c r="W67">
        <v>6</v>
      </c>
      <c r="X67">
        <v>6</v>
      </c>
      <c r="Y67">
        <v>0</v>
      </c>
      <c r="Z67">
        <v>0</v>
      </c>
      <c r="AA67">
        <v>0</v>
      </c>
      <c r="AB67">
        <v>0</v>
      </c>
      <c r="AC67">
        <v>1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</row>
    <row r="68" spans="1:74">
      <c r="A68">
        <v>42660</v>
      </c>
      <c r="B68">
        <v>0</v>
      </c>
      <c r="C68">
        <v>0</v>
      </c>
      <c r="D68">
        <v>7.6470000000000002</v>
      </c>
      <c r="E68">
        <v>5</v>
      </c>
      <c r="F68">
        <v>5</v>
      </c>
      <c r="G68">
        <v>559.15300000000002</v>
      </c>
      <c r="H68">
        <v>559.15300000000002</v>
      </c>
      <c r="I68">
        <v>5</v>
      </c>
      <c r="J68">
        <v>5</v>
      </c>
      <c r="K68">
        <v>559.15300000000002</v>
      </c>
      <c r="L68">
        <v>559.15300000000002</v>
      </c>
      <c r="M68">
        <v>5</v>
      </c>
      <c r="N68">
        <v>5</v>
      </c>
      <c r="O68">
        <v>0</v>
      </c>
      <c r="P68">
        <v>0</v>
      </c>
      <c r="Q68">
        <v>559.15300000000002</v>
      </c>
      <c r="R68">
        <v>559.15300000000002</v>
      </c>
      <c r="S68">
        <v>5</v>
      </c>
      <c r="T68">
        <v>5</v>
      </c>
      <c r="U68">
        <v>0</v>
      </c>
      <c r="V68">
        <v>0</v>
      </c>
      <c r="W68">
        <v>6</v>
      </c>
      <c r="X68">
        <v>6</v>
      </c>
      <c r="Y68">
        <v>0</v>
      </c>
      <c r="Z68">
        <v>0</v>
      </c>
      <c r="AA68">
        <v>0</v>
      </c>
      <c r="AB68">
        <v>0</v>
      </c>
      <c r="AC68">
        <v>1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</row>
    <row r="69" spans="1:74">
      <c r="A69">
        <v>42680</v>
      </c>
      <c r="B69">
        <v>0</v>
      </c>
      <c r="C69">
        <v>0</v>
      </c>
      <c r="D69">
        <v>3.3220000000000001</v>
      </c>
      <c r="E69">
        <v>5</v>
      </c>
      <c r="F69">
        <v>5</v>
      </c>
      <c r="G69">
        <v>559.65300000000002</v>
      </c>
      <c r="H69">
        <v>559.65300000000002</v>
      </c>
      <c r="I69">
        <v>5</v>
      </c>
      <c r="J69">
        <v>5</v>
      </c>
      <c r="K69">
        <v>559.65300000000002</v>
      </c>
      <c r="L69">
        <v>559.65300000000002</v>
      </c>
      <c r="M69">
        <v>5</v>
      </c>
      <c r="N69">
        <v>5</v>
      </c>
      <c r="O69">
        <v>0</v>
      </c>
      <c r="P69">
        <v>0</v>
      </c>
      <c r="Q69">
        <v>559.65300000000002</v>
      </c>
      <c r="R69">
        <v>559.65300000000002</v>
      </c>
      <c r="S69">
        <v>5</v>
      </c>
      <c r="T69">
        <v>5</v>
      </c>
      <c r="U69">
        <v>0</v>
      </c>
      <c r="V69">
        <v>0</v>
      </c>
      <c r="W69">
        <v>6</v>
      </c>
      <c r="X69">
        <v>6</v>
      </c>
      <c r="Y69">
        <v>0</v>
      </c>
      <c r="Z69">
        <v>0</v>
      </c>
      <c r="AA69">
        <v>0</v>
      </c>
      <c r="AB69">
        <v>0</v>
      </c>
      <c r="AC69">
        <v>1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</row>
    <row r="70" spans="1:74">
      <c r="A70">
        <v>42700</v>
      </c>
      <c r="B70">
        <v>3.5179999999999998</v>
      </c>
      <c r="C70">
        <v>0.28100000000000003</v>
      </c>
      <c r="D70">
        <v>0.26</v>
      </c>
      <c r="E70">
        <v>5</v>
      </c>
      <c r="F70">
        <v>5</v>
      </c>
      <c r="G70">
        <v>560.15300000000002</v>
      </c>
      <c r="H70">
        <v>560.15300000000002</v>
      </c>
      <c r="I70">
        <v>5.2290000000000001</v>
      </c>
      <c r="J70">
        <v>5.2290000000000001</v>
      </c>
      <c r="K70">
        <v>560</v>
      </c>
      <c r="L70">
        <v>560</v>
      </c>
      <c r="M70">
        <v>6.8289999999999997</v>
      </c>
      <c r="N70">
        <v>6.8289999999999997</v>
      </c>
      <c r="O70">
        <v>1</v>
      </c>
      <c r="P70">
        <v>1</v>
      </c>
      <c r="Q70">
        <v>559.4</v>
      </c>
      <c r="R70">
        <v>559.4</v>
      </c>
      <c r="S70">
        <v>6.5289999999999999</v>
      </c>
      <c r="T70">
        <v>6.5289999999999999</v>
      </c>
      <c r="U70">
        <v>0.6</v>
      </c>
      <c r="V70">
        <v>0.6</v>
      </c>
      <c r="W70">
        <v>8.8290000000000006</v>
      </c>
      <c r="X70">
        <v>8.8290000000000006</v>
      </c>
      <c r="Y70">
        <v>0</v>
      </c>
      <c r="Z70">
        <v>0</v>
      </c>
      <c r="AA70">
        <v>0</v>
      </c>
      <c r="AB70">
        <v>0</v>
      </c>
      <c r="AC70">
        <v>1</v>
      </c>
      <c r="AD70">
        <v>0</v>
      </c>
      <c r="AE70">
        <v>0.36</v>
      </c>
      <c r="AF70">
        <v>0</v>
      </c>
      <c r="AG70">
        <v>0.36</v>
      </c>
      <c r="AH70">
        <v>2.3250000000000002</v>
      </c>
      <c r="AI70">
        <v>2.3250000000000002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</row>
    <row r="71" spans="1:74">
      <c r="A71">
        <v>42720</v>
      </c>
      <c r="B71">
        <v>0.72</v>
      </c>
      <c r="C71">
        <v>3.0880000000000001</v>
      </c>
      <c r="D71">
        <v>0.76</v>
      </c>
      <c r="E71">
        <v>5</v>
      </c>
      <c r="F71">
        <v>5</v>
      </c>
      <c r="G71">
        <v>560.65300000000002</v>
      </c>
      <c r="H71">
        <v>560.65300000000002</v>
      </c>
      <c r="I71">
        <v>5.9790000000000001</v>
      </c>
      <c r="J71">
        <v>5.9790000000000001</v>
      </c>
      <c r="K71">
        <v>560</v>
      </c>
      <c r="L71">
        <v>560</v>
      </c>
      <c r="M71">
        <v>7.5789999999999997</v>
      </c>
      <c r="N71">
        <v>7.5789999999999997</v>
      </c>
      <c r="O71">
        <v>1</v>
      </c>
      <c r="P71">
        <v>1</v>
      </c>
      <c r="Q71">
        <v>559.4</v>
      </c>
      <c r="R71">
        <v>559.4</v>
      </c>
      <c r="S71">
        <v>7.2789999999999999</v>
      </c>
      <c r="T71">
        <v>7.2789999999999999</v>
      </c>
      <c r="U71">
        <v>0.6</v>
      </c>
      <c r="V71">
        <v>0.6</v>
      </c>
      <c r="W71">
        <v>9.5790000000000006</v>
      </c>
      <c r="X71">
        <v>9.5790000000000006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0.36</v>
      </c>
      <c r="AF71">
        <v>0</v>
      </c>
      <c r="AG71">
        <v>0.36</v>
      </c>
      <c r="AH71">
        <v>2.3250000000000002</v>
      </c>
      <c r="AI71">
        <v>2.3250000000000002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</row>
    <row r="72" spans="1:74">
      <c r="A72">
        <v>42740</v>
      </c>
      <c r="B72">
        <v>0.72</v>
      </c>
      <c r="C72">
        <v>9.4420000000000002</v>
      </c>
      <c r="D72">
        <v>1.26</v>
      </c>
      <c r="E72">
        <v>5</v>
      </c>
      <c r="F72">
        <v>5</v>
      </c>
      <c r="G72">
        <v>561.15300000000002</v>
      </c>
      <c r="H72">
        <v>561.15300000000002</v>
      </c>
      <c r="I72">
        <v>6.7290000000000001</v>
      </c>
      <c r="J72">
        <v>6.7290000000000001</v>
      </c>
      <c r="K72">
        <v>560</v>
      </c>
      <c r="L72">
        <v>560</v>
      </c>
      <c r="M72">
        <v>8.3290000000000006</v>
      </c>
      <c r="N72">
        <v>8.3290000000000006</v>
      </c>
      <c r="O72">
        <v>1</v>
      </c>
      <c r="P72">
        <v>1</v>
      </c>
      <c r="Q72">
        <v>559.4</v>
      </c>
      <c r="R72">
        <v>559.4</v>
      </c>
      <c r="S72">
        <v>8.0289999999999999</v>
      </c>
      <c r="T72">
        <v>8.0289999999999999</v>
      </c>
      <c r="U72">
        <v>0.6</v>
      </c>
      <c r="V72">
        <v>0.6</v>
      </c>
      <c r="W72">
        <v>10.329000000000001</v>
      </c>
      <c r="X72">
        <v>10.329000000000001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0.36</v>
      </c>
      <c r="AF72">
        <v>0</v>
      </c>
      <c r="AG72">
        <v>0.36</v>
      </c>
      <c r="AH72">
        <v>2.3250000000000002</v>
      </c>
      <c r="AI72">
        <v>2.3250000000000002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</row>
    <row r="73" spans="1:74">
      <c r="A73">
        <v>42754.718999999997</v>
      </c>
      <c r="B73">
        <v>0.72</v>
      </c>
      <c r="C73">
        <v>14.618</v>
      </c>
      <c r="D73">
        <v>1.6279999999999999</v>
      </c>
      <c r="E73">
        <v>5</v>
      </c>
      <c r="F73">
        <v>5</v>
      </c>
      <c r="G73">
        <v>561.52099999999996</v>
      </c>
      <c r="H73">
        <v>561.52800000000002</v>
      </c>
      <c r="I73">
        <v>7.2809999999999997</v>
      </c>
      <c r="J73">
        <v>7.2930000000000001</v>
      </c>
      <c r="K73">
        <v>560</v>
      </c>
      <c r="L73">
        <v>560</v>
      </c>
      <c r="M73">
        <v>8.8810000000000002</v>
      </c>
      <c r="N73">
        <v>8.8930000000000007</v>
      </c>
      <c r="O73">
        <v>1</v>
      </c>
      <c r="P73">
        <v>1</v>
      </c>
      <c r="Q73">
        <v>559.4</v>
      </c>
      <c r="R73">
        <v>559.4</v>
      </c>
      <c r="S73">
        <v>8.5809999999999995</v>
      </c>
      <c r="T73">
        <v>8.593</v>
      </c>
      <c r="U73">
        <v>0.6</v>
      </c>
      <c r="V73">
        <v>0.6</v>
      </c>
      <c r="W73">
        <v>10.881</v>
      </c>
      <c r="X73">
        <v>10.893000000000001</v>
      </c>
      <c r="Y73">
        <v>0</v>
      </c>
      <c r="Z73">
        <v>0</v>
      </c>
      <c r="AA73">
        <v>0</v>
      </c>
      <c r="AB73">
        <v>0</v>
      </c>
      <c r="AC73">
        <v>1</v>
      </c>
      <c r="AD73">
        <v>0</v>
      </c>
      <c r="AE73">
        <v>0.36</v>
      </c>
      <c r="AF73">
        <v>0</v>
      </c>
      <c r="AG73">
        <v>0.36</v>
      </c>
      <c r="AH73">
        <v>2.3250000000000002</v>
      </c>
      <c r="AI73">
        <v>2.3250000000000002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</row>
    <row r="74" spans="1:74">
      <c r="A74">
        <v>42760</v>
      </c>
      <c r="B74">
        <v>0.72</v>
      </c>
      <c r="C74">
        <v>16.774999999999999</v>
      </c>
      <c r="D74">
        <v>1.76</v>
      </c>
      <c r="E74">
        <v>5</v>
      </c>
      <c r="F74">
        <v>5</v>
      </c>
      <c r="G74">
        <v>561.69100000000003</v>
      </c>
      <c r="H74">
        <v>561.66</v>
      </c>
      <c r="I74">
        <v>7.5369999999999999</v>
      </c>
      <c r="J74">
        <v>7.4909999999999997</v>
      </c>
      <c r="K74">
        <v>560</v>
      </c>
      <c r="L74">
        <v>560</v>
      </c>
      <c r="M74">
        <v>9.1370000000000005</v>
      </c>
      <c r="N74">
        <v>9.0909999999999993</v>
      </c>
      <c r="O74">
        <v>1</v>
      </c>
      <c r="P74">
        <v>1</v>
      </c>
      <c r="Q74">
        <v>559.4</v>
      </c>
      <c r="R74">
        <v>559.4</v>
      </c>
      <c r="S74">
        <v>8.8369999999999997</v>
      </c>
      <c r="T74">
        <v>8.7910000000000004</v>
      </c>
      <c r="U74">
        <v>0.6</v>
      </c>
      <c r="V74">
        <v>0.6</v>
      </c>
      <c r="W74">
        <v>10.268000000000001</v>
      </c>
      <c r="X74">
        <v>10.287000000000001</v>
      </c>
      <c r="Y74">
        <v>0</v>
      </c>
      <c r="Z74">
        <v>0</v>
      </c>
      <c r="AA74">
        <v>0</v>
      </c>
      <c r="AB74">
        <v>0</v>
      </c>
      <c r="AC74">
        <v>1</v>
      </c>
      <c r="AD74">
        <v>0</v>
      </c>
      <c r="AE74">
        <v>0.36</v>
      </c>
      <c r="AF74">
        <v>0</v>
      </c>
      <c r="AG74">
        <v>0.36</v>
      </c>
      <c r="AH74">
        <v>2.3250000000000002</v>
      </c>
      <c r="AI74">
        <v>2.3250000000000002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</row>
    <row r="75" spans="1:74">
      <c r="A75">
        <v>42780</v>
      </c>
      <c r="B75">
        <v>51.338999999999999</v>
      </c>
      <c r="C75">
        <v>0</v>
      </c>
      <c r="D75">
        <v>-3.3860000000000001</v>
      </c>
      <c r="E75">
        <v>-5</v>
      </c>
      <c r="F75">
        <v>-5</v>
      </c>
      <c r="G75">
        <v>562.399</v>
      </c>
      <c r="H75">
        <v>562.20600000000002</v>
      </c>
      <c r="I75">
        <v>-7.3250000000000002</v>
      </c>
      <c r="J75">
        <v>-7.899</v>
      </c>
      <c r="K75">
        <v>565.24900000000002</v>
      </c>
      <c r="L75">
        <v>566.20399999999995</v>
      </c>
      <c r="M75">
        <v>-5.6</v>
      </c>
      <c r="N75">
        <v>-5.6</v>
      </c>
      <c r="O75">
        <v>0.3</v>
      </c>
      <c r="P75">
        <v>0.3</v>
      </c>
      <c r="Q75">
        <v>561.79899999999998</v>
      </c>
      <c r="R75">
        <v>561.60599999999999</v>
      </c>
      <c r="S75">
        <v>-5.3</v>
      </c>
      <c r="T75">
        <v>-5.3</v>
      </c>
      <c r="U75">
        <v>-0.6</v>
      </c>
      <c r="V75">
        <v>-0.6</v>
      </c>
      <c r="W75">
        <v>8.3249999999999993</v>
      </c>
      <c r="X75">
        <v>8.8989999999999991</v>
      </c>
      <c r="Y75">
        <v>0</v>
      </c>
      <c r="Z75">
        <v>0</v>
      </c>
      <c r="AA75">
        <v>0</v>
      </c>
      <c r="AB75">
        <v>0</v>
      </c>
      <c r="AC75">
        <v>1</v>
      </c>
      <c r="AD75">
        <v>0</v>
      </c>
      <c r="AE75">
        <v>0</v>
      </c>
      <c r="AF75">
        <v>0</v>
      </c>
      <c r="AG75">
        <v>0</v>
      </c>
      <c r="AH75">
        <v>2.3250000000000002</v>
      </c>
      <c r="AI75">
        <v>2.3250000000000002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</row>
    <row r="76" spans="1:74">
      <c r="A76">
        <v>42789.718999999997</v>
      </c>
      <c r="B76">
        <v>116.468</v>
      </c>
      <c r="C76">
        <v>0</v>
      </c>
      <c r="D76">
        <v>-7.2670000000000003</v>
      </c>
      <c r="E76">
        <v>-5</v>
      </c>
      <c r="F76">
        <v>-5</v>
      </c>
      <c r="G76">
        <v>562.78800000000001</v>
      </c>
      <c r="H76">
        <v>562.44000000000005</v>
      </c>
      <c r="I76">
        <v>-9.234</v>
      </c>
      <c r="J76">
        <v>-9.68</v>
      </c>
      <c r="K76">
        <v>569.45600000000002</v>
      </c>
      <c r="L76">
        <v>570</v>
      </c>
      <c r="M76">
        <v>-5.6</v>
      </c>
      <c r="N76">
        <v>-5.6</v>
      </c>
      <c r="O76">
        <v>0.3</v>
      </c>
      <c r="P76">
        <v>0.3</v>
      </c>
      <c r="Q76">
        <v>562.18799999999999</v>
      </c>
      <c r="R76">
        <v>561.84</v>
      </c>
      <c r="S76">
        <v>-5.3</v>
      </c>
      <c r="T76">
        <v>-5.3</v>
      </c>
      <c r="U76">
        <v>-0.6</v>
      </c>
      <c r="V76">
        <v>-0.6</v>
      </c>
      <c r="W76">
        <v>10.234</v>
      </c>
      <c r="X76">
        <v>10.68</v>
      </c>
      <c r="Y76">
        <v>0</v>
      </c>
      <c r="Z76">
        <v>0</v>
      </c>
      <c r="AA76">
        <v>0</v>
      </c>
      <c r="AB76">
        <v>0</v>
      </c>
      <c r="AC76">
        <v>1</v>
      </c>
      <c r="AD76">
        <v>0</v>
      </c>
      <c r="AE76">
        <v>0</v>
      </c>
      <c r="AF76">
        <v>0</v>
      </c>
      <c r="AG76">
        <v>0</v>
      </c>
      <c r="AH76">
        <v>2.3250000000000002</v>
      </c>
      <c r="AI76">
        <v>2.3250000000000002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</row>
    <row r="77" spans="1:74">
      <c r="A77">
        <v>42800</v>
      </c>
      <c r="B77">
        <v>112.566</v>
      </c>
      <c r="C77">
        <v>0</v>
      </c>
      <c r="D77">
        <v>-6.9909999999999997</v>
      </c>
      <c r="E77">
        <v>-5</v>
      </c>
      <c r="F77">
        <v>-5</v>
      </c>
      <c r="G77">
        <v>563.15700000000004</v>
      </c>
      <c r="H77">
        <v>562.80899999999997</v>
      </c>
      <c r="I77">
        <v>-9.3219999999999992</v>
      </c>
      <c r="J77">
        <v>-9.4949999999999992</v>
      </c>
      <c r="K77">
        <v>570</v>
      </c>
      <c r="L77">
        <v>570</v>
      </c>
      <c r="M77">
        <v>-5.6</v>
      </c>
      <c r="N77">
        <v>-5.6</v>
      </c>
      <c r="O77">
        <v>0.3</v>
      </c>
      <c r="P77">
        <v>0.3</v>
      </c>
      <c r="Q77">
        <v>562.55700000000002</v>
      </c>
      <c r="R77">
        <v>562.20899999999995</v>
      </c>
      <c r="S77">
        <v>-5.3</v>
      </c>
      <c r="T77">
        <v>-5.3</v>
      </c>
      <c r="U77">
        <v>-0.6</v>
      </c>
      <c r="V77">
        <v>-0.6</v>
      </c>
      <c r="W77">
        <v>10.321999999999999</v>
      </c>
      <c r="X77">
        <v>10.494999999999999</v>
      </c>
      <c r="Y77">
        <v>0</v>
      </c>
      <c r="Z77">
        <v>0</v>
      </c>
      <c r="AA77">
        <v>0</v>
      </c>
      <c r="AB77">
        <v>0</v>
      </c>
      <c r="AC77">
        <v>1</v>
      </c>
      <c r="AD77">
        <v>0</v>
      </c>
      <c r="AE77">
        <v>0</v>
      </c>
      <c r="AF77">
        <v>0</v>
      </c>
      <c r="AG77">
        <v>0</v>
      </c>
      <c r="AH77">
        <v>2.3250000000000002</v>
      </c>
      <c r="AI77">
        <v>2.3250000000000002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</row>
    <row r="78" spans="1:74">
      <c r="A78">
        <v>42820</v>
      </c>
      <c r="B78">
        <v>97.62</v>
      </c>
      <c r="C78">
        <v>0</v>
      </c>
      <c r="D78">
        <v>-6.1790000000000003</v>
      </c>
      <c r="E78">
        <v>-5</v>
      </c>
      <c r="F78">
        <v>-5</v>
      </c>
      <c r="G78">
        <v>563.96799999999996</v>
      </c>
      <c r="H78">
        <v>563.62099999999998</v>
      </c>
      <c r="I78">
        <v>-8.9160000000000004</v>
      </c>
      <c r="J78">
        <v>-9.09</v>
      </c>
      <c r="K78">
        <v>570</v>
      </c>
      <c r="L78">
        <v>570</v>
      </c>
      <c r="M78">
        <v>-5.6</v>
      </c>
      <c r="N78">
        <v>-5.6</v>
      </c>
      <c r="O78">
        <v>0.3</v>
      </c>
      <c r="P78">
        <v>0.3</v>
      </c>
      <c r="Q78">
        <v>563.36800000000005</v>
      </c>
      <c r="R78">
        <v>563.02099999999996</v>
      </c>
      <c r="S78">
        <v>-5.3</v>
      </c>
      <c r="T78">
        <v>-5.3</v>
      </c>
      <c r="U78">
        <v>-0.6</v>
      </c>
      <c r="V78">
        <v>-0.6</v>
      </c>
      <c r="W78">
        <v>9.9160000000000004</v>
      </c>
      <c r="X78">
        <v>10.09</v>
      </c>
      <c r="Y78">
        <v>0</v>
      </c>
      <c r="Z78">
        <v>0</v>
      </c>
      <c r="AA78">
        <v>0</v>
      </c>
      <c r="AB78">
        <v>0</v>
      </c>
      <c r="AC78">
        <v>1</v>
      </c>
      <c r="AD78">
        <v>0</v>
      </c>
      <c r="AE78">
        <v>0</v>
      </c>
      <c r="AF78">
        <v>0</v>
      </c>
      <c r="AG78">
        <v>0</v>
      </c>
      <c r="AH78">
        <v>2.3250000000000002</v>
      </c>
      <c r="AI78">
        <v>2.3250000000000002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</row>
    <row r="79" spans="1:74">
      <c r="A79">
        <v>42836.612000000001</v>
      </c>
      <c r="B79">
        <v>84.063999999999993</v>
      </c>
      <c r="C79">
        <v>0</v>
      </c>
      <c r="D79">
        <v>-5.41</v>
      </c>
      <c r="E79">
        <v>-5</v>
      </c>
      <c r="F79">
        <v>-5</v>
      </c>
      <c r="G79">
        <v>564.73800000000006</v>
      </c>
      <c r="H79">
        <v>564.39</v>
      </c>
      <c r="I79">
        <v>-8.5310000000000006</v>
      </c>
      <c r="J79">
        <v>-8.7050000000000001</v>
      </c>
      <c r="K79">
        <v>570</v>
      </c>
      <c r="L79">
        <v>570</v>
      </c>
      <c r="M79">
        <v>-5.6</v>
      </c>
      <c r="N79">
        <v>-5.6</v>
      </c>
      <c r="O79">
        <v>0.3</v>
      </c>
      <c r="P79">
        <v>0.3</v>
      </c>
      <c r="Q79">
        <v>564.13800000000003</v>
      </c>
      <c r="R79">
        <v>563.79</v>
      </c>
      <c r="S79">
        <v>-5.3</v>
      </c>
      <c r="T79">
        <v>-5.3</v>
      </c>
      <c r="U79">
        <v>-0.6</v>
      </c>
      <c r="V79">
        <v>-0.6</v>
      </c>
      <c r="W79">
        <v>9.5310000000000006</v>
      </c>
      <c r="X79">
        <v>9.7050000000000001</v>
      </c>
      <c r="Y79">
        <v>0</v>
      </c>
      <c r="Z79">
        <v>0</v>
      </c>
      <c r="AA79">
        <v>0</v>
      </c>
      <c r="AB79">
        <v>0</v>
      </c>
      <c r="AC79">
        <v>1</v>
      </c>
      <c r="AD79">
        <v>0</v>
      </c>
      <c r="AE79">
        <v>0</v>
      </c>
      <c r="AF79">
        <v>0</v>
      </c>
      <c r="AG79">
        <v>0</v>
      </c>
      <c r="AH79">
        <v>2.3250000000000002</v>
      </c>
      <c r="AI79">
        <v>2.3250000000000002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</row>
    <row r="80" spans="1:74">
      <c r="A80">
        <v>42840</v>
      </c>
      <c r="B80">
        <v>81.191000000000003</v>
      </c>
      <c r="C80">
        <v>0</v>
      </c>
      <c r="D80">
        <v>-5.242</v>
      </c>
      <c r="E80">
        <v>-5</v>
      </c>
      <c r="F80">
        <v>-5</v>
      </c>
      <c r="G80">
        <v>564.90499999999997</v>
      </c>
      <c r="H80">
        <v>564.55799999999999</v>
      </c>
      <c r="I80">
        <v>-8.4469999999999992</v>
      </c>
      <c r="J80">
        <v>-8.6210000000000004</v>
      </c>
      <c r="K80">
        <v>570</v>
      </c>
      <c r="L80">
        <v>570</v>
      </c>
      <c r="M80">
        <v>-5.6</v>
      </c>
      <c r="N80">
        <v>-5.6</v>
      </c>
      <c r="O80">
        <v>0.3</v>
      </c>
      <c r="P80">
        <v>0.3</v>
      </c>
      <c r="Q80">
        <v>564.30499999999995</v>
      </c>
      <c r="R80">
        <v>563.95799999999997</v>
      </c>
      <c r="S80">
        <v>-5.3</v>
      </c>
      <c r="T80">
        <v>-5.3</v>
      </c>
      <c r="U80">
        <v>-0.6</v>
      </c>
      <c r="V80">
        <v>-0.6</v>
      </c>
      <c r="W80">
        <v>9.4469999999999992</v>
      </c>
      <c r="X80">
        <v>9.6210000000000004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0</v>
      </c>
      <c r="AF80">
        <v>0</v>
      </c>
      <c r="AG80">
        <v>0</v>
      </c>
      <c r="AH80">
        <v>2.3250000000000002</v>
      </c>
      <c r="AI80">
        <v>2.3250000000000002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</row>
    <row r="81" spans="1:74">
      <c r="A81">
        <v>42860</v>
      </c>
      <c r="B81">
        <v>63.631</v>
      </c>
      <c r="C81">
        <v>0</v>
      </c>
      <c r="D81">
        <v>-4.181</v>
      </c>
      <c r="E81">
        <v>-5</v>
      </c>
      <c r="F81">
        <v>-5</v>
      </c>
      <c r="G81">
        <v>565.96699999999998</v>
      </c>
      <c r="H81">
        <v>565.61900000000003</v>
      </c>
      <c r="I81">
        <v>-7.9169999999999998</v>
      </c>
      <c r="J81">
        <v>-8.09</v>
      </c>
      <c r="K81">
        <v>570</v>
      </c>
      <c r="L81">
        <v>570</v>
      </c>
      <c r="M81">
        <v>-5.6</v>
      </c>
      <c r="N81">
        <v>-5.6</v>
      </c>
      <c r="O81">
        <v>0.3</v>
      </c>
      <c r="P81">
        <v>0.3</v>
      </c>
      <c r="Q81">
        <v>565.36699999999996</v>
      </c>
      <c r="R81">
        <v>565.01900000000001</v>
      </c>
      <c r="S81">
        <v>-5.3</v>
      </c>
      <c r="T81">
        <v>-5.3</v>
      </c>
      <c r="U81">
        <v>-0.6</v>
      </c>
      <c r="V81">
        <v>-0.6</v>
      </c>
      <c r="W81">
        <v>8.9169999999999998</v>
      </c>
      <c r="X81">
        <v>9.09</v>
      </c>
      <c r="Y81">
        <v>0</v>
      </c>
      <c r="Z81">
        <v>0</v>
      </c>
      <c r="AA81">
        <v>0</v>
      </c>
      <c r="AB81">
        <v>0</v>
      </c>
      <c r="AC81">
        <v>1</v>
      </c>
      <c r="AD81">
        <v>0</v>
      </c>
      <c r="AE81">
        <v>0</v>
      </c>
      <c r="AF81">
        <v>0</v>
      </c>
      <c r="AG81">
        <v>0</v>
      </c>
      <c r="AH81">
        <v>2.3250000000000002</v>
      </c>
      <c r="AI81">
        <v>2.3250000000000002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</row>
    <row r="82" spans="1:74">
      <c r="A82">
        <v>42880</v>
      </c>
      <c r="B82">
        <v>45.338999999999999</v>
      </c>
      <c r="C82">
        <v>0</v>
      </c>
      <c r="D82">
        <v>-2.9940000000000002</v>
      </c>
      <c r="E82">
        <v>-5</v>
      </c>
      <c r="F82">
        <v>-5</v>
      </c>
      <c r="G82">
        <v>567.154</v>
      </c>
      <c r="H82">
        <v>566.80600000000004</v>
      </c>
      <c r="I82">
        <v>-7.3230000000000004</v>
      </c>
      <c r="J82">
        <v>-7.4969999999999999</v>
      </c>
      <c r="K82">
        <v>570</v>
      </c>
      <c r="L82">
        <v>570</v>
      </c>
      <c r="M82">
        <v>-5.6</v>
      </c>
      <c r="N82">
        <v>-5.6</v>
      </c>
      <c r="O82">
        <v>0.3</v>
      </c>
      <c r="P82">
        <v>0.3</v>
      </c>
      <c r="Q82">
        <v>566.55399999999997</v>
      </c>
      <c r="R82">
        <v>566.20600000000002</v>
      </c>
      <c r="S82">
        <v>-5.3</v>
      </c>
      <c r="T82">
        <v>-5.3</v>
      </c>
      <c r="U82">
        <v>-0.6</v>
      </c>
      <c r="V82">
        <v>-0.6</v>
      </c>
      <c r="W82">
        <v>8.3230000000000004</v>
      </c>
      <c r="X82">
        <v>8.4969999999999999</v>
      </c>
      <c r="Y82">
        <v>0</v>
      </c>
      <c r="Z82">
        <v>0</v>
      </c>
      <c r="AA82">
        <v>0</v>
      </c>
      <c r="AB82">
        <v>0</v>
      </c>
      <c r="AC82">
        <v>1</v>
      </c>
      <c r="AD82">
        <v>0</v>
      </c>
      <c r="AE82">
        <v>0</v>
      </c>
      <c r="AF82">
        <v>0</v>
      </c>
      <c r="AG82">
        <v>0</v>
      </c>
      <c r="AH82">
        <v>2.3250000000000002</v>
      </c>
      <c r="AI82">
        <v>2.3250000000000002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</row>
    <row r="83" spans="1:74">
      <c r="A83">
        <v>42883.506000000001</v>
      </c>
      <c r="B83">
        <v>42.119</v>
      </c>
      <c r="C83">
        <v>0</v>
      </c>
      <c r="D83">
        <v>-2.7749999999999999</v>
      </c>
      <c r="E83">
        <v>-5</v>
      </c>
      <c r="F83">
        <v>-5</v>
      </c>
      <c r="G83">
        <v>567.37300000000005</v>
      </c>
      <c r="H83">
        <v>567.02499999999998</v>
      </c>
      <c r="I83">
        <v>-7.2140000000000004</v>
      </c>
      <c r="J83">
        <v>-7.3869999999999996</v>
      </c>
      <c r="K83">
        <v>570</v>
      </c>
      <c r="L83">
        <v>570</v>
      </c>
      <c r="M83">
        <v>-5.6</v>
      </c>
      <c r="N83">
        <v>-5.6</v>
      </c>
      <c r="O83">
        <v>0.3</v>
      </c>
      <c r="P83">
        <v>0.3</v>
      </c>
      <c r="Q83">
        <v>566.77300000000002</v>
      </c>
      <c r="R83">
        <v>566.42499999999995</v>
      </c>
      <c r="S83">
        <v>-5.3</v>
      </c>
      <c r="T83">
        <v>-5.3</v>
      </c>
      <c r="U83">
        <v>-0.6</v>
      </c>
      <c r="V83">
        <v>-0.6</v>
      </c>
      <c r="W83">
        <v>8.2140000000000004</v>
      </c>
      <c r="X83">
        <v>8.3870000000000005</v>
      </c>
      <c r="Y83">
        <v>0</v>
      </c>
      <c r="Z83">
        <v>0</v>
      </c>
      <c r="AA83">
        <v>0</v>
      </c>
      <c r="AB83">
        <v>0</v>
      </c>
      <c r="AC83">
        <v>1</v>
      </c>
      <c r="AD83">
        <v>0</v>
      </c>
      <c r="AE83">
        <v>0</v>
      </c>
      <c r="AF83">
        <v>0</v>
      </c>
      <c r="AG83">
        <v>0</v>
      </c>
      <c r="AH83">
        <v>2.3250000000000002</v>
      </c>
      <c r="AI83">
        <v>2.3250000000000002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</row>
    <row r="84" spans="1:74">
      <c r="A84">
        <v>42900</v>
      </c>
      <c r="B84">
        <v>27.731999999999999</v>
      </c>
      <c r="C84">
        <v>0</v>
      </c>
      <c r="D84">
        <v>-1.7450000000000001</v>
      </c>
      <c r="E84">
        <v>-5</v>
      </c>
      <c r="F84">
        <v>-5</v>
      </c>
      <c r="G84">
        <v>568.28200000000004</v>
      </c>
      <c r="H84">
        <v>568.15499999999997</v>
      </c>
      <c r="I84">
        <v>-6.7590000000000003</v>
      </c>
      <c r="J84">
        <v>-6.8230000000000004</v>
      </c>
      <c r="K84">
        <v>570</v>
      </c>
      <c r="L84">
        <v>570</v>
      </c>
      <c r="M84">
        <v>-5.6</v>
      </c>
      <c r="N84">
        <v>-5.6</v>
      </c>
      <c r="O84">
        <v>0.3</v>
      </c>
      <c r="P84">
        <v>0.3</v>
      </c>
      <c r="Q84">
        <v>567.68200000000002</v>
      </c>
      <c r="R84">
        <v>567.55499999999995</v>
      </c>
      <c r="S84">
        <v>-5.3</v>
      </c>
      <c r="T84">
        <v>-5.3</v>
      </c>
      <c r="U84">
        <v>-0.6</v>
      </c>
      <c r="V84">
        <v>-0.6</v>
      </c>
      <c r="W84">
        <v>7.7590000000000003</v>
      </c>
      <c r="X84">
        <v>7.8230000000000004</v>
      </c>
      <c r="Y84">
        <v>0</v>
      </c>
      <c r="Z84">
        <v>0</v>
      </c>
      <c r="AA84">
        <v>0</v>
      </c>
      <c r="AB84">
        <v>0</v>
      </c>
      <c r="AC84">
        <v>1</v>
      </c>
      <c r="AD84">
        <v>0</v>
      </c>
      <c r="AE84">
        <v>0</v>
      </c>
      <c r="AF84">
        <v>0</v>
      </c>
      <c r="AG84">
        <v>0</v>
      </c>
      <c r="AH84">
        <v>2.3250000000000002</v>
      </c>
      <c r="AI84">
        <v>2.3250000000000002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</row>
    <row r="85" spans="1:74">
      <c r="A85">
        <v>42918.506000000001</v>
      </c>
      <c r="B85">
        <v>13.082000000000001</v>
      </c>
      <c r="C85">
        <v>0</v>
      </c>
      <c r="D85">
        <v>-0.59</v>
      </c>
      <c r="E85">
        <v>-5</v>
      </c>
      <c r="F85">
        <v>-5</v>
      </c>
      <c r="G85">
        <v>569.303</v>
      </c>
      <c r="H85">
        <v>569.30999999999995</v>
      </c>
      <c r="I85">
        <v>-6.2489999999999997</v>
      </c>
      <c r="J85">
        <v>-6.1210000000000004</v>
      </c>
      <c r="K85">
        <v>570</v>
      </c>
      <c r="L85">
        <v>569.75300000000004</v>
      </c>
      <c r="M85">
        <v>-5.6</v>
      </c>
      <c r="N85">
        <v>-5.6</v>
      </c>
      <c r="O85">
        <v>0.3</v>
      </c>
      <c r="P85">
        <v>0.3</v>
      </c>
      <c r="Q85">
        <v>568.70299999999997</v>
      </c>
      <c r="R85">
        <v>568.71</v>
      </c>
      <c r="S85">
        <v>-5.3</v>
      </c>
      <c r="T85">
        <v>-5.3</v>
      </c>
      <c r="U85">
        <v>-0.6</v>
      </c>
      <c r="V85">
        <v>-0.6</v>
      </c>
      <c r="W85">
        <v>7.2489999999999997</v>
      </c>
      <c r="X85">
        <v>7.1210000000000004</v>
      </c>
      <c r="Y85">
        <v>0</v>
      </c>
      <c r="Z85">
        <v>0</v>
      </c>
      <c r="AA85">
        <v>0</v>
      </c>
      <c r="AB85">
        <v>0</v>
      </c>
      <c r="AC85">
        <v>1</v>
      </c>
      <c r="AD85">
        <v>0</v>
      </c>
      <c r="AE85">
        <v>0</v>
      </c>
      <c r="AF85">
        <v>0</v>
      </c>
      <c r="AG85">
        <v>0</v>
      </c>
      <c r="AH85">
        <v>2.3250000000000002</v>
      </c>
      <c r="AI85">
        <v>2.3250000000000002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</row>
    <row r="86" spans="1:74">
      <c r="A86">
        <v>42920</v>
      </c>
      <c r="B86">
        <v>11.215999999999999</v>
      </c>
      <c r="C86">
        <v>0</v>
      </c>
      <c r="D86">
        <v>-0.497</v>
      </c>
      <c r="E86">
        <v>-5</v>
      </c>
      <c r="F86">
        <v>-5</v>
      </c>
      <c r="G86">
        <v>569.39599999999996</v>
      </c>
      <c r="H86">
        <v>569.39599999999996</v>
      </c>
      <c r="I86">
        <v>-6.202</v>
      </c>
      <c r="J86">
        <v>-5.9249999999999998</v>
      </c>
      <c r="K86">
        <v>570</v>
      </c>
      <c r="L86">
        <v>569.44600000000003</v>
      </c>
      <c r="M86">
        <v>-5.6</v>
      </c>
      <c r="N86">
        <v>-5.6</v>
      </c>
      <c r="O86">
        <v>0.3</v>
      </c>
      <c r="P86">
        <v>0.3</v>
      </c>
      <c r="Q86">
        <v>568.79600000000005</v>
      </c>
      <c r="R86">
        <v>568.79600000000005</v>
      </c>
      <c r="S86">
        <v>-5.3</v>
      </c>
      <c r="T86">
        <v>-5.3</v>
      </c>
      <c r="U86">
        <v>-0.6</v>
      </c>
      <c r="V86">
        <v>-0.6</v>
      </c>
      <c r="W86">
        <v>7.202</v>
      </c>
      <c r="X86">
        <v>6.9249999999999998</v>
      </c>
      <c r="Y86">
        <v>0</v>
      </c>
      <c r="Z86">
        <v>0</v>
      </c>
      <c r="AA86">
        <v>0</v>
      </c>
      <c r="AB86">
        <v>0</v>
      </c>
      <c r="AC86">
        <v>1</v>
      </c>
      <c r="AD86">
        <v>0</v>
      </c>
      <c r="AE86">
        <v>0</v>
      </c>
      <c r="AF86">
        <v>0</v>
      </c>
      <c r="AG86">
        <v>0</v>
      </c>
      <c r="AH86">
        <v>2.3250000000000002</v>
      </c>
      <c r="AI86">
        <v>2.3250000000000002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</row>
    <row r="87" spans="1:74">
      <c r="A87">
        <v>42940</v>
      </c>
      <c r="B87">
        <v>0.312</v>
      </c>
      <c r="C87">
        <v>68.91</v>
      </c>
      <c r="D87">
        <v>3.9049999999999998</v>
      </c>
      <c r="E87">
        <v>5</v>
      </c>
      <c r="F87">
        <v>5</v>
      </c>
      <c r="G87">
        <v>570.64499999999998</v>
      </c>
      <c r="H87">
        <v>570.64499999999998</v>
      </c>
      <c r="I87">
        <v>7.6289999999999996</v>
      </c>
      <c r="J87">
        <v>16.832000000000001</v>
      </c>
      <c r="K87">
        <v>568.89200000000005</v>
      </c>
      <c r="L87">
        <v>562.75699999999995</v>
      </c>
      <c r="M87">
        <v>8.77</v>
      </c>
      <c r="N87">
        <v>16.832000000000001</v>
      </c>
      <c r="O87">
        <v>1</v>
      </c>
      <c r="P87">
        <v>0</v>
      </c>
      <c r="Q87">
        <v>568.59799999999996</v>
      </c>
      <c r="R87">
        <v>562.75699999999995</v>
      </c>
      <c r="S87">
        <v>8.4700000000000006</v>
      </c>
      <c r="T87">
        <v>16.832000000000001</v>
      </c>
      <c r="U87">
        <v>0.6</v>
      </c>
      <c r="V87">
        <v>0</v>
      </c>
      <c r="W87">
        <v>9.77</v>
      </c>
      <c r="X87">
        <v>17.832000000000001</v>
      </c>
      <c r="Y87">
        <v>0</v>
      </c>
      <c r="Z87">
        <v>0</v>
      </c>
      <c r="AA87">
        <v>0</v>
      </c>
      <c r="AB87">
        <v>0</v>
      </c>
      <c r="AC87">
        <v>1</v>
      </c>
      <c r="AD87">
        <v>0.19600000000000001</v>
      </c>
      <c r="AE87">
        <v>0.312</v>
      </c>
      <c r="AF87">
        <v>0</v>
      </c>
      <c r="AG87">
        <v>0</v>
      </c>
      <c r="AH87">
        <v>2.3250000000000002</v>
      </c>
      <c r="AI87">
        <v>2.3250000000000002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</row>
    <row r="88" spans="1:74">
      <c r="A88">
        <v>42960</v>
      </c>
      <c r="B88">
        <v>0.3</v>
      </c>
      <c r="C88">
        <v>304.44299999999998</v>
      </c>
      <c r="D88">
        <v>10.433999999999999</v>
      </c>
      <c r="E88">
        <v>5</v>
      </c>
      <c r="F88">
        <v>5</v>
      </c>
      <c r="G88">
        <v>571.89300000000003</v>
      </c>
      <c r="H88">
        <v>571.89300000000003</v>
      </c>
      <c r="I88">
        <v>14.419</v>
      </c>
      <c r="J88">
        <v>34.264000000000003</v>
      </c>
      <c r="K88">
        <v>565.61400000000003</v>
      </c>
      <c r="L88">
        <v>554.88499999999999</v>
      </c>
      <c r="M88">
        <v>15.487</v>
      </c>
      <c r="N88">
        <v>34.264000000000003</v>
      </c>
      <c r="O88">
        <v>1</v>
      </c>
      <c r="P88">
        <v>0</v>
      </c>
      <c r="Q88">
        <v>565.36800000000005</v>
      </c>
      <c r="R88">
        <v>554.88499999999999</v>
      </c>
      <c r="S88">
        <v>15.186999999999999</v>
      </c>
      <c r="T88">
        <v>34.264000000000003</v>
      </c>
      <c r="U88">
        <v>0.6</v>
      </c>
      <c r="V88">
        <v>0</v>
      </c>
      <c r="W88">
        <v>16.486999999999998</v>
      </c>
      <c r="X88">
        <v>35.264000000000003</v>
      </c>
      <c r="Y88">
        <v>0</v>
      </c>
      <c r="Z88">
        <v>0</v>
      </c>
      <c r="AA88">
        <v>0</v>
      </c>
      <c r="AB88">
        <v>0</v>
      </c>
      <c r="AC88">
        <v>1</v>
      </c>
      <c r="AD88">
        <v>0.224</v>
      </c>
      <c r="AE88">
        <v>0.3</v>
      </c>
      <c r="AF88">
        <v>0</v>
      </c>
      <c r="AG88">
        <v>0</v>
      </c>
      <c r="AH88">
        <v>2.3250000000000002</v>
      </c>
      <c r="AI88">
        <v>2.3250000000000002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</row>
    <row r="89" spans="1:74">
      <c r="A89">
        <v>42980</v>
      </c>
      <c r="B89">
        <v>0.65300000000000002</v>
      </c>
      <c r="C89">
        <v>761.72500000000002</v>
      </c>
      <c r="D89">
        <v>16.658999999999999</v>
      </c>
      <c r="E89">
        <v>5</v>
      </c>
      <c r="F89">
        <v>5</v>
      </c>
      <c r="G89">
        <v>573.14200000000005</v>
      </c>
      <c r="H89">
        <v>573.14200000000005</v>
      </c>
      <c r="I89">
        <v>23.402999999999999</v>
      </c>
      <c r="J89">
        <v>67.284000000000006</v>
      </c>
      <c r="K89">
        <v>562.34</v>
      </c>
      <c r="L89">
        <v>540</v>
      </c>
      <c r="M89">
        <v>24.372</v>
      </c>
      <c r="N89">
        <v>68.884</v>
      </c>
      <c r="O89">
        <v>1</v>
      </c>
      <c r="P89">
        <v>1</v>
      </c>
      <c r="Q89">
        <v>562.101</v>
      </c>
      <c r="R89">
        <v>539.4</v>
      </c>
      <c r="S89">
        <v>24.071999999999999</v>
      </c>
      <c r="T89">
        <v>68.584000000000003</v>
      </c>
      <c r="U89">
        <v>0.6</v>
      </c>
      <c r="V89">
        <v>0.6</v>
      </c>
      <c r="W89">
        <v>25.372</v>
      </c>
      <c r="X89">
        <v>70.884</v>
      </c>
      <c r="Y89">
        <v>0</v>
      </c>
      <c r="Z89">
        <v>0</v>
      </c>
      <c r="AA89">
        <v>0</v>
      </c>
      <c r="AB89">
        <v>0</v>
      </c>
      <c r="AC89">
        <v>1</v>
      </c>
      <c r="AD89">
        <v>0.222</v>
      </c>
      <c r="AE89">
        <v>0.29299999999999998</v>
      </c>
      <c r="AF89">
        <v>0</v>
      </c>
      <c r="AG89">
        <v>0.36</v>
      </c>
      <c r="AH89">
        <v>2.3250000000000002</v>
      </c>
      <c r="AI89">
        <v>2.3250000000000002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</row>
    <row r="90" spans="1:74">
      <c r="A90">
        <v>42987.165999999997</v>
      </c>
      <c r="B90">
        <v>0.64700000000000002</v>
      </c>
      <c r="C90">
        <v>969.7</v>
      </c>
      <c r="D90">
        <v>18.763999999999999</v>
      </c>
      <c r="E90">
        <v>5</v>
      </c>
      <c r="F90">
        <v>5</v>
      </c>
      <c r="G90">
        <v>573.58900000000006</v>
      </c>
      <c r="H90">
        <v>573.58900000000006</v>
      </c>
      <c r="I90">
        <v>26.599</v>
      </c>
      <c r="J90">
        <v>68.177999999999997</v>
      </c>
      <c r="K90">
        <v>560.96100000000001</v>
      </c>
      <c r="L90">
        <v>540</v>
      </c>
      <c r="M90">
        <v>27.515000000000001</v>
      </c>
      <c r="N90">
        <v>69.778000000000006</v>
      </c>
      <c r="O90">
        <v>1</v>
      </c>
      <c r="P90">
        <v>1</v>
      </c>
      <c r="Q90">
        <v>560.75199999999995</v>
      </c>
      <c r="R90">
        <v>539.4</v>
      </c>
      <c r="S90">
        <v>27.215</v>
      </c>
      <c r="T90">
        <v>69.477999999999994</v>
      </c>
      <c r="U90">
        <v>0.6</v>
      </c>
      <c r="V90">
        <v>0.6</v>
      </c>
      <c r="W90">
        <v>28.515000000000001</v>
      </c>
      <c r="X90">
        <v>71.778000000000006</v>
      </c>
      <c r="Y90">
        <v>0</v>
      </c>
      <c r="Z90">
        <v>0</v>
      </c>
      <c r="AA90">
        <v>0</v>
      </c>
      <c r="AB90">
        <v>0</v>
      </c>
      <c r="AC90">
        <v>1</v>
      </c>
      <c r="AD90">
        <v>0.23499999999999999</v>
      </c>
      <c r="AE90">
        <v>0.28699999999999998</v>
      </c>
      <c r="AF90">
        <v>0</v>
      </c>
      <c r="AG90">
        <v>0.36</v>
      </c>
      <c r="AH90">
        <v>2.3250000000000002</v>
      </c>
      <c r="AI90">
        <v>2.3250000000000002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</row>
    <row r="91" spans="1:74">
      <c r="A91">
        <v>43000</v>
      </c>
      <c r="B91">
        <v>0.67400000000000004</v>
      </c>
      <c r="C91">
        <v>1208.4110000000001</v>
      </c>
      <c r="D91">
        <v>22.721</v>
      </c>
      <c r="E91">
        <v>5</v>
      </c>
      <c r="F91">
        <v>5</v>
      </c>
      <c r="G91">
        <v>574.39</v>
      </c>
      <c r="H91">
        <v>574.39</v>
      </c>
      <c r="I91">
        <v>31.780999999999999</v>
      </c>
      <c r="J91">
        <v>69.781000000000006</v>
      </c>
      <c r="K91">
        <v>558.80100000000004</v>
      </c>
      <c r="L91">
        <v>540</v>
      </c>
      <c r="M91">
        <v>32.884</v>
      </c>
      <c r="N91">
        <v>71.381</v>
      </c>
      <c r="O91">
        <v>1</v>
      </c>
      <c r="P91">
        <v>1</v>
      </c>
      <c r="Q91">
        <v>558.48500000000001</v>
      </c>
      <c r="R91">
        <v>539.4</v>
      </c>
      <c r="S91">
        <v>32.584000000000003</v>
      </c>
      <c r="T91">
        <v>71.081000000000003</v>
      </c>
      <c r="U91">
        <v>0.6</v>
      </c>
      <c r="V91">
        <v>0.6</v>
      </c>
      <c r="W91">
        <v>33.884</v>
      </c>
      <c r="X91">
        <v>73.381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0.18099999999999999</v>
      </c>
      <c r="AE91">
        <v>0.314</v>
      </c>
      <c r="AF91">
        <v>0</v>
      </c>
      <c r="AG91">
        <v>0.36</v>
      </c>
      <c r="AH91">
        <v>2.3250000000000002</v>
      </c>
      <c r="AI91">
        <v>2.3250000000000002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</row>
    <row r="92" spans="1:74">
      <c r="A92">
        <v>43020</v>
      </c>
      <c r="B92">
        <v>0.61899999999999999</v>
      </c>
      <c r="C92">
        <v>1324.5429999999999</v>
      </c>
      <c r="D92">
        <v>25.747</v>
      </c>
      <c r="E92">
        <v>5</v>
      </c>
      <c r="F92">
        <v>5</v>
      </c>
      <c r="G92">
        <v>575.63900000000001</v>
      </c>
      <c r="H92">
        <v>575.63900000000001</v>
      </c>
      <c r="I92">
        <v>38.755000000000003</v>
      </c>
      <c r="J92">
        <v>60.731999999999999</v>
      </c>
      <c r="K92">
        <v>556.06500000000005</v>
      </c>
      <c r="L92">
        <v>545.77300000000002</v>
      </c>
      <c r="M92">
        <v>39.802999999999997</v>
      </c>
      <c r="N92">
        <v>61.786000000000001</v>
      </c>
      <c r="O92">
        <v>1</v>
      </c>
      <c r="P92">
        <v>1</v>
      </c>
      <c r="Q92">
        <v>555.78</v>
      </c>
      <c r="R92">
        <v>545.44600000000003</v>
      </c>
      <c r="S92">
        <v>39.503</v>
      </c>
      <c r="T92">
        <v>61.485999999999997</v>
      </c>
      <c r="U92">
        <v>0.6</v>
      </c>
      <c r="V92">
        <v>0.6</v>
      </c>
      <c r="W92">
        <v>40.802999999999997</v>
      </c>
      <c r="X92">
        <v>62.786000000000001</v>
      </c>
      <c r="Y92">
        <v>0</v>
      </c>
      <c r="Z92">
        <v>0</v>
      </c>
      <c r="AA92">
        <v>0</v>
      </c>
      <c r="AB92">
        <v>0</v>
      </c>
      <c r="AC92">
        <v>1</v>
      </c>
      <c r="AD92">
        <v>0.19800000000000001</v>
      </c>
      <c r="AE92">
        <v>0.30599999999999999</v>
      </c>
      <c r="AF92">
        <v>0.17199999999999999</v>
      </c>
      <c r="AG92">
        <v>0.313</v>
      </c>
      <c r="AH92">
        <v>2.3250000000000002</v>
      </c>
      <c r="AI92">
        <v>2.3250000000000002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</row>
    <row r="93" spans="1:74">
      <c r="A93">
        <v>43040</v>
      </c>
      <c r="B93">
        <v>0.59899999999999998</v>
      </c>
      <c r="C93">
        <v>1472.0989999999999</v>
      </c>
      <c r="D93">
        <v>26.995000000000001</v>
      </c>
      <c r="E93">
        <v>5</v>
      </c>
      <c r="F93">
        <v>5</v>
      </c>
      <c r="G93">
        <v>576.88800000000003</v>
      </c>
      <c r="H93">
        <v>576.88800000000003</v>
      </c>
      <c r="I93">
        <v>46.024999999999999</v>
      </c>
      <c r="J93">
        <v>52.241999999999997</v>
      </c>
      <c r="K93">
        <v>554.375</v>
      </c>
      <c r="L93">
        <v>551.26700000000005</v>
      </c>
      <c r="M93">
        <v>47.017000000000003</v>
      </c>
      <c r="N93">
        <v>53.164999999999999</v>
      </c>
      <c r="O93">
        <v>1</v>
      </c>
      <c r="P93">
        <v>1</v>
      </c>
      <c r="Q93">
        <v>554.07899999999995</v>
      </c>
      <c r="R93">
        <v>551.005</v>
      </c>
      <c r="S93">
        <v>46.716999999999999</v>
      </c>
      <c r="T93">
        <v>52.865000000000002</v>
      </c>
      <c r="U93">
        <v>0.6</v>
      </c>
      <c r="V93">
        <v>0.6</v>
      </c>
      <c r="W93">
        <v>48.017000000000003</v>
      </c>
      <c r="X93">
        <v>54.164999999999999</v>
      </c>
      <c r="Y93">
        <v>0</v>
      </c>
      <c r="Z93">
        <v>0</v>
      </c>
      <c r="AA93">
        <v>0</v>
      </c>
      <c r="AB93">
        <v>0</v>
      </c>
      <c r="AC93">
        <v>1</v>
      </c>
      <c r="AD93">
        <v>0.188</v>
      </c>
      <c r="AE93">
        <v>0.30499999999999999</v>
      </c>
      <c r="AF93">
        <v>0.20499999999999999</v>
      </c>
      <c r="AG93">
        <v>0.29399999999999998</v>
      </c>
      <c r="AH93">
        <v>2.3250000000000002</v>
      </c>
      <c r="AI93">
        <v>2.3250000000000002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</row>
    <row r="94" spans="1:74">
      <c r="A94">
        <v>43060</v>
      </c>
      <c r="B94">
        <v>0.628</v>
      </c>
      <c r="C94">
        <v>1478.078</v>
      </c>
      <c r="D94">
        <v>28.244</v>
      </c>
      <c r="E94">
        <v>5</v>
      </c>
      <c r="F94">
        <v>5</v>
      </c>
      <c r="G94">
        <v>578.13599999999997</v>
      </c>
      <c r="H94">
        <v>578.13599999999997</v>
      </c>
      <c r="I94">
        <v>49.463999999999999</v>
      </c>
      <c r="J94">
        <v>43.261000000000003</v>
      </c>
      <c r="K94">
        <v>553.904</v>
      </c>
      <c r="L94">
        <v>557.00599999999997</v>
      </c>
      <c r="M94">
        <v>50.587000000000003</v>
      </c>
      <c r="N94">
        <v>44.265999999999998</v>
      </c>
      <c r="O94">
        <v>1</v>
      </c>
      <c r="P94">
        <v>1</v>
      </c>
      <c r="Q94">
        <v>553.54300000000001</v>
      </c>
      <c r="R94">
        <v>556.70299999999997</v>
      </c>
      <c r="S94">
        <v>50.286999999999999</v>
      </c>
      <c r="T94">
        <v>43.966000000000001</v>
      </c>
      <c r="U94">
        <v>0.6</v>
      </c>
      <c r="V94">
        <v>0.6</v>
      </c>
      <c r="W94">
        <v>51.587000000000003</v>
      </c>
      <c r="X94">
        <v>45.265999999999998</v>
      </c>
      <c r="Y94">
        <v>0</v>
      </c>
      <c r="Z94">
        <v>0</v>
      </c>
      <c r="AA94">
        <v>0</v>
      </c>
      <c r="AB94">
        <v>0</v>
      </c>
      <c r="AC94">
        <v>1</v>
      </c>
      <c r="AD94">
        <v>0.153</v>
      </c>
      <c r="AE94">
        <v>0.32200000000000001</v>
      </c>
      <c r="AF94">
        <v>0.185</v>
      </c>
      <c r="AG94">
        <v>0.307</v>
      </c>
      <c r="AH94">
        <v>2.3250000000000002</v>
      </c>
      <c r="AI94">
        <v>2.3250000000000002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</row>
    <row r="95" spans="1:74">
      <c r="A95">
        <v>43064.686000000002</v>
      </c>
      <c r="B95">
        <v>0.629</v>
      </c>
      <c r="C95">
        <v>1434.56</v>
      </c>
      <c r="D95">
        <v>28.536000000000001</v>
      </c>
      <c r="E95">
        <v>5</v>
      </c>
      <c r="F95">
        <v>5</v>
      </c>
      <c r="G95">
        <v>578.42899999999997</v>
      </c>
      <c r="H95">
        <v>578.42899999999997</v>
      </c>
      <c r="I95">
        <v>49.621000000000002</v>
      </c>
      <c r="J95">
        <v>41.368000000000002</v>
      </c>
      <c r="K95">
        <v>554.11900000000003</v>
      </c>
      <c r="L95">
        <v>558.42899999999997</v>
      </c>
      <c r="M95">
        <v>50.771000000000001</v>
      </c>
      <c r="N95">
        <v>41.368000000000002</v>
      </c>
      <c r="O95">
        <v>1</v>
      </c>
      <c r="P95">
        <v>1</v>
      </c>
      <c r="Q95">
        <v>553.74300000000005</v>
      </c>
      <c r="R95">
        <v>557.82899999999995</v>
      </c>
      <c r="S95">
        <v>50.470999999999997</v>
      </c>
      <c r="T95">
        <v>41.067999999999998</v>
      </c>
      <c r="U95">
        <v>0.6</v>
      </c>
      <c r="V95">
        <v>0.6</v>
      </c>
      <c r="W95">
        <v>51.771000000000001</v>
      </c>
      <c r="X95">
        <v>42.368000000000002</v>
      </c>
      <c r="Y95">
        <v>0</v>
      </c>
      <c r="Z95">
        <v>0</v>
      </c>
      <c r="AA95">
        <v>0</v>
      </c>
      <c r="AB95">
        <v>0</v>
      </c>
      <c r="AC95">
        <v>1</v>
      </c>
      <c r="AD95">
        <v>0.14499999999999999</v>
      </c>
      <c r="AE95">
        <v>0.32500000000000001</v>
      </c>
      <c r="AF95">
        <v>0</v>
      </c>
      <c r="AG95">
        <v>0.36</v>
      </c>
      <c r="AH95">
        <v>2.3250000000000002</v>
      </c>
      <c r="AI95">
        <v>2.3250000000000002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</row>
    <row r="96" spans="1:74">
      <c r="A96">
        <v>43080</v>
      </c>
      <c r="B96">
        <v>0.64600000000000002</v>
      </c>
      <c r="C96">
        <v>1182.3230000000001</v>
      </c>
      <c r="D96">
        <v>25.100999999999999</v>
      </c>
      <c r="E96">
        <v>5</v>
      </c>
      <c r="F96">
        <v>5</v>
      </c>
      <c r="G96">
        <v>579.38499999999999</v>
      </c>
      <c r="H96">
        <v>579.38499999999999</v>
      </c>
      <c r="I96">
        <v>48.845999999999997</v>
      </c>
      <c r="J96">
        <v>34.179000000000002</v>
      </c>
      <c r="K96">
        <v>555.46199999999999</v>
      </c>
      <c r="L96">
        <v>562.42600000000004</v>
      </c>
      <c r="M96">
        <v>50.112000000000002</v>
      </c>
      <c r="N96">
        <v>35.253</v>
      </c>
      <c r="O96">
        <v>1</v>
      </c>
      <c r="P96">
        <v>1</v>
      </c>
      <c r="Q96">
        <v>555.029</v>
      </c>
      <c r="R96">
        <v>562.12599999999998</v>
      </c>
      <c r="S96">
        <v>49.811999999999998</v>
      </c>
      <c r="T96">
        <v>34.953000000000003</v>
      </c>
      <c r="U96">
        <v>0.6</v>
      </c>
      <c r="V96">
        <v>0.6</v>
      </c>
      <c r="W96">
        <v>51.112000000000002</v>
      </c>
      <c r="X96">
        <v>36.253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0.11</v>
      </c>
      <c r="AE96">
        <v>0.33600000000000002</v>
      </c>
      <c r="AF96">
        <v>0.19</v>
      </c>
      <c r="AG96">
        <v>0.31</v>
      </c>
      <c r="AH96">
        <v>2.3250000000000002</v>
      </c>
      <c r="AI96">
        <v>2.3250000000000002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</row>
    <row r="97" spans="1:74">
      <c r="A97">
        <v>43100</v>
      </c>
      <c r="B97">
        <v>0.64200000000000002</v>
      </c>
      <c r="C97">
        <v>874.17200000000003</v>
      </c>
      <c r="D97">
        <v>20.388999999999999</v>
      </c>
      <c r="E97">
        <v>5</v>
      </c>
      <c r="F97">
        <v>5</v>
      </c>
      <c r="G97">
        <v>580.63400000000001</v>
      </c>
      <c r="H97">
        <v>580.63400000000001</v>
      </c>
      <c r="I97">
        <v>44.853000000000002</v>
      </c>
      <c r="J97">
        <v>28.236999999999998</v>
      </c>
      <c r="K97">
        <v>558.70699999999999</v>
      </c>
      <c r="L97">
        <v>567.07000000000005</v>
      </c>
      <c r="M97">
        <v>46.133000000000003</v>
      </c>
      <c r="N97">
        <v>29.277999999999999</v>
      </c>
      <c r="O97">
        <v>1</v>
      </c>
      <c r="P97">
        <v>1</v>
      </c>
      <c r="Q97">
        <v>558.26700000000005</v>
      </c>
      <c r="R97">
        <v>566.78899999999999</v>
      </c>
      <c r="S97">
        <v>45.832999999999998</v>
      </c>
      <c r="T97">
        <v>28.978000000000002</v>
      </c>
      <c r="U97">
        <v>0.6</v>
      </c>
      <c r="V97">
        <v>0.6</v>
      </c>
      <c r="W97">
        <v>47.133000000000003</v>
      </c>
      <c r="X97">
        <v>30.277999999999999</v>
      </c>
      <c r="Y97">
        <v>0</v>
      </c>
      <c r="Z97">
        <v>0</v>
      </c>
      <c r="AA97">
        <v>0</v>
      </c>
      <c r="AB97">
        <v>0</v>
      </c>
      <c r="AC97">
        <v>1</v>
      </c>
      <c r="AD97">
        <v>0.105</v>
      </c>
      <c r="AE97">
        <v>0.33800000000000002</v>
      </c>
      <c r="AF97">
        <v>0.2</v>
      </c>
      <c r="AG97">
        <v>0.30499999999999999</v>
      </c>
      <c r="AH97">
        <v>2.3250000000000002</v>
      </c>
      <c r="AI97">
        <v>2.3250000000000002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</row>
    <row r="98" spans="1:74">
      <c r="A98">
        <v>43120</v>
      </c>
      <c r="B98">
        <v>0.72</v>
      </c>
      <c r="C98">
        <v>645.20799999999997</v>
      </c>
      <c r="D98">
        <v>16.132999999999999</v>
      </c>
      <c r="E98">
        <v>5</v>
      </c>
      <c r="F98">
        <v>5</v>
      </c>
      <c r="G98">
        <v>581.88199999999995</v>
      </c>
      <c r="H98">
        <v>581.88199999999995</v>
      </c>
      <c r="I98">
        <v>44.764000000000003</v>
      </c>
      <c r="J98">
        <v>25.294</v>
      </c>
      <c r="K98">
        <v>560</v>
      </c>
      <c r="L98">
        <v>570</v>
      </c>
      <c r="M98">
        <v>46.363999999999997</v>
      </c>
      <c r="N98">
        <v>26.893999999999998</v>
      </c>
      <c r="O98">
        <v>1</v>
      </c>
      <c r="P98">
        <v>1</v>
      </c>
      <c r="Q98">
        <v>559.4</v>
      </c>
      <c r="R98">
        <v>569.4</v>
      </c>
      <c r="S98">
        <v>46.064</v>
      </c>
      <c r="T98">
        <v>26.594000000000001</v>
      </c>
      <c r="U98">
        <v>0.6</v>
      </c>
      <c r="V98">
        <v>0.6</v>
      </c>
      <c r="W98">
        <v>48.363999999999997</v>
      </c>
      <c r="X98">
        <v>28.893999999999998</v>
      </c>
      <c r="Y98">
        <v>0</v>
      </c>
      <c r="Z98">
        <v>0</v>
      </c>
      <c r="AA98">
        <v>0</v>
      </c>
      <c r="AB98">
        <v>0</v>
      </c>
      <c r="AC98">
        <v>1</v>
      </c>
      <c r="AD98">
        <v>0</v>
      </c>
      <c r="AE98">
        <v>0.36</v>
      </c>
      <c r="AF98">
        <v>0</v>
      </c>
      <c r="AG98">
        <v>0.36</v>
      </c>
      <c r="AH98">
        <v>2.3250000000000002</v>
      </c>
      <c r="AI98">
        <v>2.3250000000000002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</row>
    <row r="99" spans="1:74">
      <c r="A99">
        <v>43140</v>
      </c>
      <c r="B99">
        <v>1.569</v>
      </c>
      <c r="C99">
        <v>388.85300000000001</v>
      </c>
      <c r="D99">
        <v>11.994</v>
      </c>
      <c r="E99">
        <v>5</v>
      </c>
      <c r="F99">
        <v>5</v>
      </c>
      <c r="G99">
        <v>583.13099999999997</v>
      </c>
      <c r="H99">
        <v>583.13099999999997</v>
      </c>
      <c r="I99">
        <v>43.963000000000001</v>
      </c>
      <c r="J99">
        <v>96.953999999999994</v>
      </c>
      <c r="K99">
        <v>561.649</v>
      </c>
      <c r="L99">
        <v>530.29999999999995</v>
      </c>
      <c r="M99">
        <v>45.563000000000002</v>
      </c>
      <c r="N99">
        <v>27.64</v>
      </c>
      <c r="O99">
        <v>1</v>
      </c>
      <c r="P99">
        <v>1</v>
      </c>
      <c r="Q99">
        <v>561.04899999999998</v>
      </c>
      <c r="R99">
        <v>570.22199999999998</v>
      </c>
      <c r="S99">
        <v>45.262999999999998</v>
      </c>
      <c r="T99">
        <v>27.34</v>
      </c>
      <c r="U99">
        <v>0.6</v>
      </c>
      <c r="V99">
        <v>0.6</v>
      </c>
      <c r="W99">
        <v>46.563000000000002</v>
      </c>
      <c r="X99">
        <v>28.64</v>
      </c>
      <c r="Y99">
        <v>0</v>
      </c>
      <c r="Z99">
        <v>0</v>
      </c>
      <c r="AA99">
        <v>0</v>
      </c>
      <c r="AB99">
        <v>0</v>
      </c>
      <c r="AC99">
        <v>1</v>
      </c>
      <c r="AD99">
        <v>0</v>
      </c>
      <c r="AE99">
        <v>0.85</v>
      </c>
      <c r="AF99">
        <v>0</v>
      </c>
      <c r="AG99">
        <v>0.71899999999999997</v>
      </c>
      <c r="AH99">
        <v>2.3250000000000002</v>
      </c>
      <c r="AI99">
        <v>2.3250000000000002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</row>
    <row r="100" spans="1:74">
      <c r="A100">
        <v>43142.205999999998</v>
      </c>
      <c r="B100">
        <v>1.8740000000000001</v>
      </c>
      <c r="C100">
        <v>358.94600000000003</v>
      </c>
      <c r="D100">
        <v>11.66</v>
      </c>
      <c r="E100">
        <v>5</v>
      </c>
      <c r="F100">
        <v>5</v>
      </c>
      <c r="G100">
        <v>583.26800000000003</v>
      </c>
      <c r="H100">
        <v>583.26800000000003</v>
      </c>
      <c r="I100">
        <v>38.682000000000002</v>
      </c>
      <c r="J100">
        <v>94.358000000000004</v>
      </c>
      <c r="K100">
        <v>563.73599999999999</v>
      </c>
      <c r="L100">
        <v>531.92100000000005</v>
      </c>
      <c r="M100">
        <v>40.281999999999996</v>
      </c>
      <c r="N100">
        <v>25.948</v>
      </c>
      <c r="O100">
        <v>1</v>
      </c>
      <c r="P100">
        <v>1</v>
      </c>
      <c r="Q100">
        <v>563.13599999999997</v>
      </c>
      <c r="R100">
        <v>571.327</v>
      </c>
      <c r="S100">
        <v>39.981999999999999</v>
      </c>
      <c r="T100">
        <v>25.648</v>
      </c>
      <c r="U100">
        <v>0.6</v>
      </c>
      <c r="V100">
        <v>0.6</v>
      </c>
      <c r="W100">
        <v>41.281999999999996</v>
      </c>
      <c r="X100">
        <v>26.948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0</v>
      </c>
      <c r="AE100">
        <v>1.1579999999999999</v>
      </c>
      <c r="AF100">
        <v>0</v>
      </c>
      <c r="AG100">
        <v>0.71599999999999997</v>
      </c>
      <c r="AH100">
        <v>2.3250000000000002</v>
      </c>
      <c r="AI100">
        <v>2.3250000000000002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</row>
    <row r="101" spans="1:74">
      <c r="A101">
        <v>43145.58</v>
      </c>
      <c r="B101">
        <v>1.752</v>
      </c>
      <c r="C101">
        <v>321.923</v>
      </c>
      <c r="D101">
        <v>11.15</v>
      </c>
      <c r="E101">
        <v>5</v>
      </c>
      <c r="F101">
        <v>5</v>
      </c>
      <c r="G101">
        <v>583.47900000000004</v>
      </c>
      <c r="H101">
        <v>583.47900000000004</v>
      </c>
      <c r="I101">
        <v>34.850999999999999</v>
      </c>
      <c r="J101">
        <v>91.813000000000002</v>
      </c>
      <c r="K101">
        <v>566.13599999999997</v>
      </c>
      <c r="L101">
        <v>533.58600000000001</v>
      </c>
      <c r="M101">
        <v>36.451000000000001</v>
      </c>
      <c r="N101">
        <v>23.497</v>
      </c>
      <c r="O101">
        <v>1</v>
      </c>
      <c r="P101">
        <v>1</v>
      </c>
      <c r="Q101">
        <v>565.53599999999994</v>
      </c>
      <c r="R101">
        <v>572.93799999999999</v>
      </c>
      <c r="S101">
        <v>36.151000000000003</v>
      </c>
      <c r="T101">
        <v>23.196999999999999</v>
      </c>
      <c r="U101">
        <v>0.6</v>
      </c>
      <c r="V101">
        <v>0.6</v>
      </c>
      <c r="W101">
        <v>37.451000000000001</v>
      </c>
      <c r="X101">
        <v>24.497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0</v>
      </c>
      <c r="AE101">
        <v>1.036</v>
      </c>
      <c r="AF101">
        <v>0</v>
      </c>
      <c r="AG101">
        <v>0.71599999999999997</v>
      </c>
      <c r="AH101">
        <v>2.3250000000000002</v>
      </c>
      <c r="AI101">
        <v>2.3250000000000002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</row>
  </sheetData>
  <phoneticPr fontId="2" type="noConversion"/>
  <pageMargins left="0.7" right="0.7" top="0.75" bottom="0.75" header="0.3" footer="0.3"/>
  <pageSetup paperSize="8" orientation="portrait" horizontalDpi="1440" verticalDpi="144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C68"/>
  <sheetViews>
    <sheetView workbookViewId="0">
      <selection activeCell="G19" sqref="G19"/>
    </sheetView>
  </sheetViews>
  <sheetFormatPr defaultRowHeight="13.5"/>
  <cols>
    <col min="1" max="1" width="10.5" bestFit="1" customWidth="1"/>
  </cols>
  <sheetData>
    <row r="1" spans="1:3">
      <c r="A1" t="s">
        <v>25</v>
      </c>
      <c r="B1" t="s">
        <v>26</v>
      </c>
      <c r="C1" t="s">
        <v>24</v>
      </c>
    </row>
    <row r="2" spans="1:3">
      <c r="A2" s="3">
        <v>41647.86</v>
      </c>
      <c r="B2" s="7">
        <v>42000</v>
      </c>
    </row>
    <row r="3" spans="1:3">
      <c r="A3" s="7">
        <v>42000</v>
      </c>
      <c r="B3" s="7">
        <v>43145.58</v>
      </c>
    </row>
    <row r="4" spans="1:3">
      <c r="A4" s="7"/>
      <c r="B4" s="7"/>
    </row>
    <row r="5" spans="1:3">
      <c r="A5" s="7"/>
      <c r="B5" s="7"/>
    </row>
    <row r="6" spans="1:3">
      <c r="A6" s="7"/>
      <c r="B6" s="7"/>
    </row>
    <row r="7" spans="1:3">
      <c r="A7" s="7"/>
      <c r="B7" s="7"/>
    </row>
    <row r="8" spans="1:3">
      <c r="A8" s="7"/>
      <c r="B8" s="7"/>
    </row>
    <row r="9" spans="1:3">
      <c r="A9" s="7"/>
    </row>
    <row r="10" spans="1:3">
      <c r="A10" s="7"/>
      <c r="B10" s="7"/>
    </row>
    <row r="11" spans="1:3">
      <c r="A11" s="7"/>
      <c r="B11" s="7"/>
    </row>
    <row r="12" spans="1:3">
      <c r="A12" s="7"/>
      <c r="B12" s="7"/>
    </row>
    <row r="13" spans="1:3">
      <c r="A13" s="7"/>
      <c r="B13" s="7"/>
    </row>
    <row r="14" spans="1:3">
      <c r="A14" s="7"/>
      <c r="B14" s="7"/>
    </row>
    <row r="15" spans="1:3">
      <c r="A15" s="7"/>
      <c r="B15" s="7"/>
    </row>
    <row r="16" spans="1:3">
      <c r="A16" s="7"/>
      <c r="B16" s="7"/>
    </row>
    <row r="17" spans="1:2">
      <c r="A17" s="7"/>
      <c r="B17" s="7"/>
    </row>
    <row r="18" spans="1:2">
      <c r="A18" s="7"/>
      <c r="B18" s="7"/>
    </row>
    <row r="19" spans="1:2">
      <c r="A19" s="7"/>
      <c r="B19" s="7"/>
    </row>
    <row r="20" spans="1:2">
      <c r="A20" s="7"/>
      <c r="B20" s="7"/>
    </row>
    <row r="21" spans="1:2">
      <c r="A21" s="7"/>
      <c r="B21" s="7"/>
    </row>
    <row r="22" spans="1:2">
      <c r="A22" s="7"/>
      <c r="B22" s="7"/>
    </row>
    <row r="23" spans="1:2">
      <c r="A23" s="7"/>
      <c r="B23" s="7"/>
    </row>
    <row r="24" spans="1:2">
      <c r="A24" s="7"/>
      <c r="B24" s="7"/>
    </row>
    <row r="25" spans="1:2">
      <c r="A25" s="7"/>
      <c r="B25" s="7"/>
    </row>
    <row r="26" spans="1:2">
      <c r="A26" s="7"/>
      <c r="B26" s="7"/>
    </row>
    <row r="27" spans="1:2">
      <c r="A27" s="7"/>
      <c r="B27" s="7"/>
    </row>
    <row r="28" spans="1:2">
      <c r="A28" s="7"/>
      <c r="B28" s="7"/>
    </row>
    <row r="29" spans="1:2">
      <c r="A29" s="7"/>
      <c r="B29" s="7"/>
    </row>
    <row r="30" spans="1:2">
      <c r="A30" s="7"/>
      <c r="B30" s="7"/>
    </row>
    <row r="31" spans="1:2">
      <c r="A31" s="7"/>
      <c r="B31" s="7"/>
    </row>
    <row r="32" spans="1:2">
      <c r="A32" s="7"/>
      <c r="B32" s="7"/>
    </row>
    <row r="33" spans="1:2">
      <c r="A33" s="7"/>
      <c r="B33" s="7"/>
    </row>
    <row r="34" spans="1:2">
      <c r="A34" s="7"/>
      <c r="B34" s="7"/>
    </row>
    <row r="35" spans="1:2">
      <c r="A35" s="7"/>
      <c r="B35" s="7"/>
    </row>
    <row r="36" spans="1:2">
      <c r="A36" s="7"/>
      <c r="B36" s="7"/>
    </row>
    <row r="37" spans="1:2">
      <c r="A37" s="7"/>
      <c r="B37" s="7"/>
    </row>
    <row r="38" spans="1:2">
      <c r="A38" s="7"/>
      <c r="B38" s="7"/>
    </row>
    <row r="39" spans="1:2">
      <c r="A39" s="7"/>
      <c r="B39" s="7"/>
    </row>
    <row r="40" spans="1:2">
      <c r="A40" s="7"/>
      <c r="B40" s="7"/>
    </row>
    <row r="41" spans="1:2">
      <c r="A41" s="7"/>
      <c r="B41" s="7"/>
    </row>
    <row r="42" spans="1:2">
      <c r="A42" s="7"/>
      <c r="B42" s="7"/>
    </row>
    <row r="43" spans="1:2">
      <c r="A43" s="7"/>
      <c r="B43" s="7"/>
    </row>
    <row r="44" spans="1:2">
      <c r="A44" s="7"/>
      <c r="B44" s="7"/>
    </row>
    <row r="45" spans="1:2">
      <c r="A45" s="7"/>
      <c r="B45" s="7"/>
    </row>
    <row r="46" spans="1:2">
      <c r="A46" s="7"/>
      <c r="B46" s="7"/>
    </row>
    <row r="47" spans="1:2">
      <c r="A47" s="7"/>
      <c r="B47" s="7"/>
    </row>
    <row r="48" spans="1:2">
      <c r="A48" s="7"/>
      <c r="B48" s="7"/>
    </row>
    <row r="49" spans="1:2">
      <c r="A49" s="7"/>
      <c r="B49" s="7"/>
    </row>
    <row r="50" spans="1:2">
      <c r="A50" s="7"/>
      <c r="B50" s="7"/>
    </row>
    <row r="51" spans="1:2">
      <c r="A51" s="7"/>
      <c r="B51" s="7"/>
    </row>
    <row r="52" spans="1:2">
      <c r="A52" s="7"/>
      <c r="B52" s="7"/>
    </row>
    <row r="53" spans="1:2">
      <c r="A53" s="7"/>
      <c r="B53" s="7"/>
    </row>
    <row r="54" spans="1:2">
      <c r="A54" s="7"/>
      <c r="B54" s="7"/>
    </row>
    <row r="55" spans="1:2">
      <c r="A55" s="7"/>
      <c r="B55" s="7"/>
    </row>
    <row r="56" spans="1:2">
      <c r="A56" s="7"/>
      <c r="B56" s="7"/>
    </row>
    <row r="57" spans="1:2">
      <c r="A57" s="7"/>
      <c r="B57" s="7"/>
    </row>
    <row r="58" spans="1:2">
      <c r="A58" s="7"/>
      <c r="B58" s="7"/>
    </row>
    <row r="59" spans="1:2">
      <c r="A59" s="7"/>
      <c r="B59" s="7"/>
    </row>
    <row r="60" spans="1:2">
      <c r="A60" s="7"/>
      <c r="B60" s="7"/>
    </row>
    <row r="61" spans="1:2">
      <c r="A61" s="7"/>
      <c r="B61" s="7"/>
    </row>
    <row r="62" spans="1:2">
      <c r="A62" s="7"/>
      <c r="B62" s="7"/>
    </row>
    <row r="63" spans="1:2">
      <c r="A63" s="7"/>
      <c r="B63" s="7"/>
    </row>
    <row r="64" spans="1:2">
      <c r="A64" s="7"/>
      <c r="B64" s="7"/>
    </row>
    <row r="65" spans="1:2">
      <c r="A65" s="7"/>
      <c r="B65" s="7"/>
    </row>
    <row r="66" spans="1:2">
      <c r="A66" s="7"/>
      <c r="B66" s="7"/>
    </row>
    <row r="67" spans="1:2">
      <c r="A67" s="7"/>
      <c r="B67" s="7"/>
    </row>
    <row r="68" spans="1:2">
      <c r="A68" s="7"/>
      <c r="B68" s="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K2"/>
  <sheetViews>
    <sheetView workbookViewId="0">
      <selection activeCell="I19" sqref="I19"/>
    </sheetView>
  </sheetViews>
  <sheetFormatPr defaultRowHeight="13.5"/>
  <cols>
    <col min="1" max="16384" width="9" style="8"/>
  </cols>
  <sheetData>
    <row r="1" spans="1:11">
      <c r="A1" t="s">
        <v>9</v>
      </c>
      <c r="B1"/>
    </row>
    <row r="2" spans="1:11">
      <c r="A2">
        <v>42334</v>
      </c>
      <c r="B2">
        <v>42686</v>
      </c>
      <c r="C2" s="8">
        <v>42510</v>
      </c>
      <c r="D2" s="8" t="s">
        <v>112</v>
      </c>
      <c r="E2" s="8" t="s">
        <v>113</v>
      </c>
      <c r="F2" s="8" t="s">
        <v>113</v>
      </c>
      <c r="G2" s="8">
        <v>90</v>
      </c>
      <c r="H2" s="8">
        <v>0</v>
      </c>
      <c r="I2" s="8">
        <v>0</v>
      </c>
      <c r="J2" s="8">
        <v>1</v>
      </c>
      <c r="K2" s="8">
        <v>0</v>
      </c>
    </row>
  </sheetData>
  <sortState ref="A2:E314">
    <sortCondition ref="C2:C314"/>
    <sortCondition ref="A2:A314"/>
  </sortState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C124"/>
  <sheetViews>
    <sheetView topLeftCell="F13" workbookViewId="0">
      <selection activeCell="AC26" sqref="AC26:AC27"/>
    </sheetView>
  </sheetViews>
  <sheetFormatPr defaultRowHeight="13.5"/>
  <cols>
    <col min="8" max="9" width="9" style="1"/>
    <col min="11" max="11" width="13.875" style="4" customWidth="1"/>
    <col min="13" max="13" width="13.875" style="4" customWidth="1"/>
  </cols>
  <sheetData>
    <row r="1" spans="2:20">
      <c r="S1">
        <v>1000</v>
      </c>
      <c r="T1">
        <v>0</v>
      </c>
    </row>
    <row r="2" spans="2:20">
      <c r="B2">
        <v>1000</v>
      </c>
      <c r="C2">
        <v>0</v>
      </c>
      <c r="E2">
        <v>1000</v>
      </c>
      <c r="F2">
        <v>0</v>
      </c>
      <c r="H2" s="5">
        <v>1000</v>
      </c>
      <c r="L2" s="1"/>
      <c r="S2">
        <v>1001.792</v>
      </c>
      <c r="T2">
        <v>152.11930000000001</v>
      </c>
    </row>
    <row r="3" spans="2:20" ht="12" customHeight="1">
      <c r="B3">
        <v>1001.792</v>
      </c>
      <c r="C3">
        <v>152.11930000000001</v>
      </c>
      <c r="D3">
        <f>C3-C2</f>
        <v>152.11930000000001</v>
      </c>
      <c r="E3">
        <v>1001.792</v>
      </c>
      <c r="F3">
        <v>0</v>
      </c>
      <c r="G3">
        <f>F3-F2</f>
        <v>0</v>
      </c>
      <c r="H3" s="5">
        <v>1001.792</v>
      </c>
      <c r="I3" s="1">
        <v>152.11929600000255</v>
      </c>
      <c r="L3" s="1">
        <v>49.107046277680034</v>
      </c>
      <c r="M3" s="4">
        <f>L3-G3</f>
        <v>49.107046277680034</v>
      </c>
      <c r="S3">
        <v>1020</v>
      </c>
      <c r="T3">
        <v>911.01969999999994</v>
      </c>
    </row>
    <row r="4" spans="2:20">
      <c r="B4">
        <v>1020</v>
      </c>
      <c r="C4">
        <v>911.01969999999994</v>
      </c>
      <c r="D4">
        <f>C4-C3</f>
        <v>758.90039999999999</v>
      </c>
      <c r="E4">
        <v>1020</v>
      </c>
      <c r="F4">
        <v>0</v>
      </c>
      <c r="G4">
        <f>F4-F3</f>
        <v>0</v>
      </c>
      <c r="H4" s="5">
        <v>1017</v>
      </c>
      <c r="I4" s="1">
        <v>760.97858555360142</v>
      </c>
      <c r="J4">
        <f>H4-B4</f>
        <v>-3</v>
      </c>
      <c r="K4" s="4">
        <f>I4-D4</f>
        <v>2.0781855536014291</v>
      </c>
      <c r="L4" s="1"/>
      <c r="M4" s="4">
        <f>L4-G4</f>
        <v>0</v>
      </c>
      <c r="S4">
        <v>1040</v>
      </c>
      <c r="T4">
        <v>911.01969999999994</v>
      </c>
    </row>
    <row r="5" spans="2:20">
      <c r="B5">
        <v>1040</v>
      </c>
      <c r="C5">
        <v>911.01969999999994</v>
      </c>
      <c r="D5">
        <f t="shared" ref="D5:D63" si="0">C5-C4</f>
        <v>0</v>
      </c>
      <c r="E5">
        <v>1040</v>
      </c>
      <c r="F5">
        <v>0</v>
      </c>
      <c r="G5">
        <f t="shared" ref="G5:G63" si="1">F5-F4</f>
        <v>0</v>
      </c>
      <c r="H5" s="5">
        <v>1233</v>
      </c>
      <c r="J5">
        <f t="shared" ref="J5:J38" si="2">H5-B5</f>
        <v>193</v>
      </c>
      <c r="K5" s="4">
        <f t="shared" ref="K5:K38" si="3">I5-D5</f>
        <v>0</v>
      </c>
      <c r="L5" s="1">
        <v>62.79665</v>
      </c>
      <c r="M5" s="4">
        <f t="shared" ref="M5:M38" si="4">L5-G5</f>
        <v>62.79665</v>
      </c>
      <c r="S5">
        <v>1060</v>
      </c>
      <c r="T5">
        <v>911.01969999999994</v>
      </c>
    </row>
    <row r="6" spans="2:20">
      <c r="B6">
        <v>1060</v>
      </c>
      <c r="C6">
        <v>911.01969999999994</v>
      </c>
      <c r="D6">
        <f t="shared" si="0"/>
        <v>0</v>
      </c>
      <c r="E6">
        <v>1060</v>
      </c>
      <c r="F6">
        <v>0</v>
      </c>
      <c r="G6">
        <f t="shared" si="1"/>
        <v>0</v>
      </c>
      <c r="H6" s="5">
        <v>1240</v>
      </c>
      <c r="I6" s="1">
        <v>185.110625</v>
      </c>
      <c r="J6">
        <f t="shared" si="2"/>
        <v>180</v>
      </c>
      <c r="K6" s="4">
        <f t="shared" si="3"/>
        <v>185.110625</v>
      </c>
      <c r="L6" s="1">
        <v>197.98</v>
      </c>
      <c r="M6" s="4">
        <f t="shared" si="4"/>
        <v>197.98</v>
      </c>
      <c r="S6">
        <v>1080</v>
      </c>
      <c r="T6">
        <v>911.01969999999994</v>
      </c>
    </row>
    <row r="7" spans="2:20">
      <c r="B7">
        <v>1080</v>
      </c>
      <c r="C7">
        <v>911.01969999999994</v>
      </c>
      <c r="D7">
        <f t="shared" si="0"/>
        <v>0</v>
      </c>
      <c r="E7">
        <v>1080</v>
      </c>
      <c r="F7">
        <v>0</v>
      </c>
      <c r="G7">
        <f t="shared" si="1"/>
        <v>0</v>
      </c>
      <c r="H7" s="5">
        <v>1260</v>
      </c>
      <c r="I7" s="1">
        <v>427.59000000000003</v>
      </c>
      <c r="J7">
        <f t="shared" si="2"/>
        <v>180</v>
      </c>
      <c r="K7" s="4">
        <f t="shared" si="3"/>
        <v>427.59000000000003</v>
      </c>
      <c r="L7" s="1"/>
      <c r="M7" s="4">
        <f t="shared" si="4"/>
        <v>0</v>
      </c>
      <c r="S7">
        <v>1090.4680000000001</v>
      </c>
      <c r="T7">
        <v>911.01969999999994</v>
      </c>
    </row>
    <row r="8" spans="2:20">
      <c r="B8">
        <v>1090.4680000000001</v>
      </c>
      <c r="C8">
        <v>911.01969999999994</v>
      </c>
      <c r="D8">
        <f t="shared" si="0"/>
        <v>0</v>
      </c>
      <c r="E8">
        <v>1090.4680000000001</v>
      </c>
      <c r="F8">
        <v>0</v>
      </c>
      <c r="G8">
        <f t="shared" si="1"/>
        <v>0</v>
      </c>
      <c r="H8" s="5">
        <v>1352</v>
      </c>
      <c r="J8">
        <f t="shared" si="2"/>
        <v>261.53199999999993</v>
      </c>
      <c r="K8" s="4">
        <f t="shared" si="3"/>
        <v>0</v>
      </c>
      <c r="L8" s="1">
        <v>49.553600000000003</v>
      </c>
      <c r="M8" s="4">
        <f t="shared" si="4"/>
        <v>49.553600000000003</v>
      </c>
      <c r="S8">
        <v>1100</v>
      </c>
      <c r="T8">
        <v>911.01969999999994</v>
      </c>
    </row>
    <row r="9" spans="2:20">
      <c r="B9">
        <v>1100</v>
      </c>
      <c r="C9">
        <v>911.01969999999994</v>
      </c>
      <c r="D9">
        <f t="shared" si="0"/>
        <v>0</v>
      </c>
      <c r="E9">
        <v>1100</v>
      </c>
      <c r="F9">
        <v>0</v>
      </c>
      <c r="G9">
        <f t="shared" si="1"/>
        <v>0</v>
      </c>
      <c r="H9" s="5">
        <v>1360</v>
      </c>
      <c r="I9" s="1">
        <v>514.70720000000006</v>
      </c>
      <c r="J9">
        <f t="shared" si="2"/>
        <v>260</v>
      </c>
      <c r="K9" s="4">
        <f t="shared" si="3"/>
        <v>514.70720000000006</v>
      </c>
      <c r="L9" s="1">
        <v>51.37</v>
      </c>
      <c r="M9" s="4">
        <f t="shared" si="4"/>
        <v>51.37</v>
      </c>
      <c r="S9">
        <v>1120</v>
      </c>
      <c r="T9">
        <v>911.01969999999994</v>
      </c>
    </row>
    <row r="10" spans="2:20">
      <c r="B10">
        <v>1120</v>
      </c>
      <c r="C10">
        <v>911.01969999999994</v>
      </c>
      <c r="D10">
        <f t="shared" si="0"/>
        <v>0</v>
      </c>
      <c r="E10">
        <v>1120</v>
      </c>
      <c r="F10">
        <v>0</v>
      </c>
      <c r="G10">
        <f t="shared" si="1"/>
        <v>0</v>
      </c>
      <c r="H10" s="5">
        <v>1380</v>
      </c>
      <c r="I10" s="1">
        <v>898.83000000000015</v>
      </c>
      <c r="J10">
        <f t="shared" si="2"/>
        <v>260</v>
      </c>
      <c r="K10" s="4">
        <f t="shared" si="3"/>
        <v>898.83000000000015</v>
      </c>
      <c r="L10" s="1">
        <v>556.51</v>
      </c>
      <c r="M10" s="4">
        <f t="shared" si="4"/>
        <v>556.51</v>
      </c>
      <c r="S10">
        <v>1140</v>
      </c>
      <c r="T10">
        <v>911.01969999999994</v>
      </c>
    </row>
    <row r="11" spans="2:20">
      <c r="B11">
        <v>1140</v>
      </c>
      <c r="C11">
        <v>911.01969999999994</v>
      </c>
      <c r="D11">
        <f t="shared" si="0"/>
        <v>0</v>
      </c>
      <c r="E11">
        <v>1140</v>
      </c>
      <c r="F11">
        <v>0</v>
      </c>
      <c r="G11">
        <f t="shared" si="1"/>
        <v>0</v>
      </c>
      <c r="H11" s="5">
        <v>1400</v>
      </c>
      <c r="I11" s="1">
        <v>97.5</v>
      </c>
      <c r="J11">
        <f t="shared" si="2"/>
        <v>260</v>
      </c>
      <c r="K11" s="4">
        <f t="shared" si="3"/>
        <v>97.5</v>
      </c>
      <c r="L11" s="1">
        <v>505.14000000000004</v>
      </c>
      <c r="M11" s="4">
        <f t="shared" si="4"/>
        <v>505.14000000000004</v>
      </c>
      <c r="S11">
        <v>1160</v>
      </c>
      <c r="T11">
        <v>911.01969999999994</v>
      </c>
    </row>
    <row r="12" spans="2:20">
      <c r="B12">
        <v>1160</v>
      </c>
      <c r="C12">
        <v>911.01969999999994</v>
      </c>
      <c r="D12">
        <f t="shared" si="0"/>
        <v>0</v>
      </c>
      <c r="E12">
        <v>1160</v>
      </c>
      <c r="F12">
        <v>0</v>
      </c>
      <c r="G12">
        <f t="shared" si="1"/>
        <v>0</v>
      </c>
      <c r="H12" s="5">
        <v>1420</v>
      </c>
      <c r="I12" s="1">
        <v>1567.1799999999998</v>
      </c>
      <c r="J12">
        <f t="shared" si="2"/>
        <v>260</v>
      </c>
      <c r="K12" s="4">
        <f t="shared" si="3"/>
        <v>1567.1799999999998</v>
      </c>
      <c r="L12" s="1"/>
      <c r="M12" s="4">
        <f t="shared" si="4"/>
        <v>0</v>
      </c>
      <c r="S12">
        <v>1180</v>
      </c>
      <c r="T12">
        <v>911.01969999999994</v>
      </c>
    </row>
    <row r="13" spans="2:20">
      <c r="B13">
        <v>1180</v>
      </c>
      <c r="C13">
        <v>911.01969999999994</v>
      </c>
      <c r="D13">
        <f t="shared" si="0"/>
        <v>0</v>
      </c>
      <c r="E13">
        <v>1180</v>
      </c>
      <c r="F13">
        <v>0</v>
      </c>
      <c r="G13">
        <f t="shared" si="1"/>
        <v>0</v>
      </c>
      <c r="H13" s="5">
        <v>1437.8330000000001</v>
      </c>
      <c r="I13" s="1">
        <v>2396.5322875000111</v>
      </c>
      <c r="J13">
        <f t="shared" si="2"/>
        <v>257.83300000000008</v>
      </c>
      <c r="K13" s="4">
        <f t="shared" si="3"/>
        <v>2396.5322875000111</v>
      </c>
      <c r="L13" s="1"/>
      <c r="M13" s="4">
        <f t="shared" si="4"/>
        <v>0</v>
      </c>
      <c r="S13">
        <v>1200</v>
      </c>
      <c r="T13">
        <v>911.01969999999994</v>
      </c>
    </row>
    <row r="14" spans="2:20">
      <c r="B14">
        <v>1200</v>
      </c>
      <c r="C14">
        <v>911.01969999999994</v>
      </c>
      <c r="D14">
        <f t="shared" si="0"/>
        <v>0</v>
      </c>
      <c r="E14">
        <v>1200</v>
      </c>
      <c r="F14">
        <v>0</v>
      </c>
      <c r="G14">
        <f t="shared" si="1"/>
        <v>0</v>
      </c>
      <c r="H14" s="5">
        <v>1440</v>
      </c>
      <c r="I14" s="1">
        <v>220.94190249999147</v>
      </c>
      <c r="J14">
        <f t="shared" si="2"/>
        <v>240</v>
      </c>
      <c r="K14" s="4">
        <f t="shared" si="3"/>
        <v>220.94190249999147</v>
      </c>
      <c r="L14" s="1">
        <v>125.10448749999999</v>
      </c>
      <c r="M14" s="4">
        <f t="shared" si="4"/>
        <v>125.10448749999999</v>
      </c>
      <c r="S14">
        <v>1220</v>
      </c>
      <c r="T14">
        <v>911.01969999999994</v>
      </c>
    </row>
    <row r="15" spans="2:20">
      <c r="B15">
        <v>1220</v>
      </c>
      <c r="C15">
        <v>911.01969999999994</v>
      </c>
      <c r="D15">
        <f t="shared" si="0"/>
        <v>0</v>
      </c>
      <c r="E15">
        <v>1220</v>
      </c>
      <c r="F15">
        <v>0</v>
      </c>
      <c r="G15">
        <f t="shared" si="1"/>
        <v>0</v>
      </c>
      <c r="H15" s="5">
        <v>1448.5</v>
      </c>
      <c r="I15" s="1">
        <v>613.48781874999997</v>
      </c>
      <c r="J15">
        <f t="shared" si="2"/>
        <v>228.5</v>
      </c>
      <c r="K15" s="4">
        <f t="shared" si="3"/>
        <v>613.48781874999997</v>
      </c>
      <c r="L15" s="1"/>
      <c r="M15" s="4">
        <f t="shared" si="4"/>
        <v>0</v>
      </c>
      <c r="S15">
        <v>1240</v>
      </c>
      <c r="T15">
        <v>1231.28</v>
      </c>
    </row>
    <row r="16" spans="2:20">
      <c r="B16">
        <v>1240</v>
      </c>
      <c r="C16">
        <v>1231.28</v>
      </c>
      <c r="D16">
        <f t="shared" si="0"/>
        <v>320.26030000000003</v>
      </c>
      <c r="E16">
        <v>1240</v>
      </c>
      <c r="F16">
        <v>69.28</v>
      </c>
      <c r="G16">
        <f t="shared" si="1"/>
        <v>69.28</v>
      </c>
      <c r="H16" s="5">
        <v>1575.5</v>
      </c>
      <c r="J16">
        <f t="shared" si="2"/>
        <v>335.5</v>
      </c>
      <c r="K16" s="4">
        <f t="shared" si="3"/>
        <v>-320.26030000000003</v>
      </c>
      <c r="L16" s="1">
        <v>36.268368749999993</v>
      </c>
      <c r="M16" s="4">
        <f t="shared" si="4"/>
        <v>-33.011631250000008</v>
      </c>
      <c r="S16">
        <v>1260</v>
      </c>
      <c r="T16">
        <v>1551.54</v>
      </c>
    </row>
    <row r="17" spans="2:29">
      <c r="B17">
        <v>1260</v>
      </c>
      <c r="C17">
        <v>1551.54</v>
      </c>
      <c r="D17">
        <f t="shared" si="0"/>
        <v>320.26</v>
      </c>
      <c r="E17">
        <v>1260</v>
      </c>
      <c r="F17">
        <v>138.56</v>
      </c>
      <c r="G17">
        <f t="shared" si="1"/>
        <v>69.28</v>
      </c>
      <c r="H17" s="5">
        <v>1580</v>
      </c>
      <c r="I17" s="1">
        <v>116.05235624999999</v>
      </c>
      <c r="J17">
        <f t="shared" si="2"/>
        <v>320</v>
      </c>
      <c r="K17" s="4">
        <f t="shared" si="3"/>
        <v>-204.20764374999999</v>
      </c>
      <c r="L17" s="1">
        <v>135.47</v>
      </c>
      <c r="M17" s="4">
        <f t="shared" si="4"/>
        <v>66.19</v>
      </c>
      <c r="S17">
        <v>1268.1110000000001</v>
      </c>
      <c r="T17">
        <v>1551.54</v>
      </c>
    </row>
    <row r="18" spans="2:29">
      <c r="B18">
        <v>1268.1110000000001</v>
      </c>
      <c r="C18">
        <v>1551.54</v>
      </c>
      <c r="D18">
        <f t="shared" si="0"/>
        <v>0</v>
      </c>
      <c r="E18">
        <v>1268.1110000000001</v>
      </c>
      <c r="F18">
        <v>138.56</v>
      </c>
      <c r="G18">
        <f t="shared" si="1"/>
        <v>0</v>
      </c>
      <c r="H18" s="5">
        <v>1600</v>
      </c>
      <c r="I18" s="1">
        <v>443.7</v>
      </c>
      <c r="J18">
        <f t="shared" si="2"/>
        <v>331.8889999999999</v>
      </c>
      <c r="K18" s="4">
        <f t="shared" si="3"/>
        <v>443.7</v>
      </c>
      <c r="L18" s="1">
        <v>82.062410000000696</v>
      </c>
      <c r="M18" s="4">
        <f t="shared" si="4"/>
        <v>82.062410000000696</v>
      </c>
      <c r="S18">
        <v>1280</v>
      </c>
      <c r="T18">
        <v>1551.54</v>
      </c>
    </row>
    <row r="19" spans="2:29">
      <c r="B19">
        <v>1280</v>
      </c>
      <c r="C19">
        <v>1551.54</v>
      </c>
      <c r="D19">
        <f t="shared" si="0"/>
        <v>0</v>
      </c>
      <c r="E19">
        <v>1280</v>
      </c>
      <c r="F19">
        <v>138.56</v>
      </c>
      <c r="G19">
        <f t="shared" si="1"/>
        <v>0</v>
      </c>
      <c r="H19" s="5">
        <v>1607.5550000000001</v>
      </c>
      <c r="I19" s="1">
        <v>69.135805000000587</v>
      </c>
      <c r="J19">
        <f t="shared" si="2"/>
        <v>327.55500000000006</v>
      </c>
      <c r="K19" s="4">
        <f t="shared" si="3"/>
        <v>69.135805000000587</v>
      </c>
      <c r="L19" s="1">
        <v>241.96191249999876</v>
      </c>
      <c r="M19" s="4">
        <f t="shared" si="4"/>
        <v>241.96191249999876</v>
      </c>
      <c r="S19">
        <v>1300</v>
      </c>
      <c r="T19">
        <v>1551.54</v>
      </c>
    </row>
    <row r="20" spans="2:29">
      <c r="B20">
        <v>1300</v>
      </c>
      <c r="C20">
        <v>1551.54</v>
      </c>
      <c r="D20">
        <f t="shared" si="0"/>
        <v>0</v>
      </c>
      <c r="E20">
        <v>1300</v>
      </c>
      <c r="F20">
        <v>138.56</v>
      </c>
      <c r="G20">
        <f t="shared" si="1"/>
        <v>0</v>
      </c>
      <c r="H20" s="5">
        <v>1620</v>
      </c>
      <c r="I20" s="1">
        <v>19.837329999999898</v>
      </c>
      <c r="J20">
        <f t="shared" si="2"/>
        <v>320</v>
      </c>
      <c r="K20" s="4">
        <f t="shared" si="3"/>
        <v>19.837329999999898</v>
      </c>
      <c r="L20" s="1">
        <v>540.93000000000006</v>
      </c>
      <c r="M20" s="4">
        <f t="shared" si="4"/>
        <v>540.93000000000006</v>
      </c>
      <c r="S20">
        <v>1320</v>
      </c>
      <c r="T20">
        <v>1551.54</v>
      </c>
    </row>
    <row r="21" spans="2:29">
      <c r="B21">
        <v>1320</v>
      </c>
      <c r="C21">
        <v>1551.54</v>
      </c>
      <c r="D21">
        <f t="shared" si="0"/>
        <v>0</v>
      </c>
      <c r="E21">
        <v>1320</v>
      </c>
      <c r="F21">
        <v>138.56</v>
      </c>
      <c r="G21">
        <f t="shared" si="1"/>
        <v>0</v>
      </c>
      <c r="H21" s="5">
        <v>1640</v>
      </c>
      <c r="I21" s="1">
        <v>4.6499999999999995</v>
      </c>
      <c r="J21">
        <f t="shared" si="2"/>
        <v>320</v>
      </c>
      <c r="K21" s="4">
        <f t="shared" si="3"/>
        <v>4.6499999999999995</v>
      </c>
      <c r="L21" s="1">
        <v>71.163137500001767</v>
      </c>
      <c r="M21" s="4">
        <f t="shared" si="4"/>
        <v>71.163137500001767</v>
      </c>
      <c r="S21">
        <v>1323.1110000000001</v>
      </c>
      <c r="T21">
        <v>1551.54</v>
      </c>
    </row>
    <row r="22" spans="2:29">
      <c r="B22">
        <v>1323.1110000000001</v>
      </c>
      <c r="C22">
        <v>1551.54</v>
      </c>
      <c r="D22">
        <f t="shared" si="0"/>
        <v>0</v>
      </c>
      <c r="E22">
        <v>1323.1110000000001</v>
      </c>
      <c r="F22">
        <v>138.56</v>
      </c>
      <c r="G22">
        <f t="shared" si="1"/>
        <v>0</v>
      </c>
      <c r="H22" s="5">
        <v>1642.5550000000001</v>
      </c>
      <c r="I22" s="1">
        <v>0.61958750000001539</v>
      </c>
      <c r="J22">
        <f t="shared" si="2"/>
        <v>319.44399999999996</v>
      </c>
      <c r="K22" s="4">
        <f t="shared" si="3"/>
        <v>0.61958750000001539</v>
      </c>
      <c r="L22" s="1">
        <v>377.87614499999864</v>
      </c>
      <c r="M22" s="4">
        <f t="shared" si="4"/>
        <v>377.87614499999864</v>
      </c>
      <c r="S22">
        <v>1340</v>
      </c>
      <c r="T22">
        <v>1551.54</v>
      </c>
    </row>
    <row r="23" spans="2:29">
      <c r="B23">
        <v>1340</v>
      </c>
      <c r="C23">
        <v>1551.54</v>
      </c>
      <c r="D23">
        <f t="shared" si="0"/>
        <v>0</v>
      </c>
      <c r="E23">
        <v>1340</v>
      </c>
      <c r="F23">
        <v>138.56</v>
      </c>
      <c r="G23">
        <f t="shared" si="1"/>
        <v>0</v>
      </c>
      <c r="H23" s="5">
        <v>1660</v>
      </c>
      <c r="I23" s="1">
        <v>18.404474999999934</v>
      </c>
      <c r="J23">
        <f t="shared" si="2"/>
        <v>320</v>
      </c>
      <c r="K23" s="4">
        <f t="shared" si="3"/>
        <v>18.404474999999934</v>
      </c>
      <c r="L23" s="1">
        <v>211.76000000000002</v>
      </c>
      <c r="M23" s="4">
        <f t="shared" si="4"/>
        <v>211.76000000000002</v>
      </c>
      <c r="S23">
        <v>1360</v>
      </c>
      <c r="T23">
        <v>2355.77</v>
      </c>
    </row>
    <row r="24" spans="2:29">
      <c r="B24">
        <v>1360</v>
      </c>
      <c r="C24">
        <v>2355.77</v>
      </c>
      <c r="D24">
        <f t="shared" si="0"/>
        <v>804.23</v>
      </c>
      <c r="E24">
        <v>1360</v>
      </c>
      <c r="F24">
        <v>138.56</v>
      </c>
      <c r="G24">
        <f t="shared" si="1"/>
        <v>0</v>
      </c>
      <c r="H24" s="5">
        <v>1680</v>
      </c>
      <c r="I24" s="1">
        <v>1379.7800000000002</v>
      </c>
      <c r="J24">
        <f t="shared" si="2"/>
        <v>320</v>
      </c>
      <c r="K24" s="4">
        <f t="shared" si="3"/>
        <v>575.55000000000018</v>
      </c>
      <c r="L24" s="1">
        <v>52.629999999999995</v>
      </c>
      <c r="M24" s="4">
        <f t="shared" si="4"/>
        <v>52.629999999999995</v>
      </c>
      <c r="S24">
        <v>1380</v>
      </c>
      <c r="T24">
        <v>3254.6</v>
      </c>
    </row>
    <row r="25" spans="2:29">
      <c r="B25">
        <v>1380</v>
      </c>
      <c r="C25">
        <v>3254.6</v>
      </c>
      <c r="D25">
        <f t="shared" si="0"/>
        <v>898.82999999999993</v>
      </c>
      <c r="E25">
        <v>1380</v>
      </c>
      <c r="F25">
        <v>189.93</v>
      </c>
      <c r="G25">
        <f t="shared" si="1"/>
        <v>51.370000000000005</v>
      </c>
      <c r="H25" s="5">
        <v>1700</v>
      </c>
      <c r="I25" s="1">
        <v>4368.7300000000005</v>
      </c>
      <c r="J25">
        <f t="shared" si="2"/>
        <v>320</v>
      </c>
      <c r="K25" s="4">
        <f t="shared" si="3"/>
        <v>3469.9000000000005</v>
      </c>
      <c r="L25" s="1">
        <v>2.8899999999999997</v>
      </c>
      <c r="M25" s="4">
        <f t="shared" si="4"/>
        <v>-48.480000000000004</v>
      </c>
      <c r="S25">
        <v>1400</v>
      </c>
      <c r="T25">
        <v>3352.1</v>
      </c>
    </row>
    <row r="26" spans="2:29">
      <c r="B26">
        <v>1400</v>
      </c>
      <c r="C26">
        <v>3352.1</v>
      </c>
      <c r="D26">
        <f t="shared" si="0"/>
        <v>97.5</v>
      </c>
      <c r="E26">
        <v>1400</v>
      </c>
      <c r="F26">
        <v>746.44</v>
      </c>
      <c r="G26">
        <f t="shared" si="1"/>
        <v>556.51</v>
      </c>
      <c r="H26" s="5">
        <v>1720</v>
      </c>
      <c r="I26" s="1">
        <v>7158.5599999999995</v>
      </c>
      <c r="J26">
        <f t="shared" si="2"/>
        <v>320</v>
      </c>
      <c r="K26" s="4">
        <f t="shared" si="3"/>
        <v>7061.0599999999995</v>
      </c>
      <c r="L26" s="1"/>
      <c r="M26" s="4">
        <f t="shared" si="4"/>
        <v>-556.51</v>
      </c>
      <c r="S26">
        <v>1420</v>
      </c>
      <c r="T26">
        <v>4919.28</v>
      </c>
      <c r="Z26">
        <v>11.25</v>
      </c>
      <c r="AA26">
        <v>3</v>
      </c>
      <c r="AB26">
        <v>0.3</v>
      </c>
      <c r="AC26">
        <f>AB26*AA26*Z26</f>
        <v>10.124999999999998</v>
      </c>
    </row>
    <row r="27" spans="2:29">
      <c r="B27">
        <v>1420</v>
      </c>
      <c r="C27">
        <v>4919.28</v>
      </c>
      <c r="D27">
        <f t="shared" si="0"/>
        <v>1567.1799999999998</v>
      </c>
      <c r="E27">
        <v>1420</v>
      </c>
      <c r="F27">
        <v>1251.58</v>
      </c>
      <c r="G27">
        <f t="shared" si="1"/>
        <v>505.13999999999987</v>
      </c>
      <c r="H27" s="5">
        <v>1740</v>
      </c>
      <c r="I27" s="1">
        <v>7769.6500000000005</v>
      </c>
      <c r="J27">
        <f t="shared" si="2"/>
        <v>320</v>
      </c>
      <c r="K27" s="4">
        <f t="shared" si="3"/>
        <v>6202.4700000000012</v>
      </c>
      <c r="L27" s="1"/>
      <c r="M27" s="4">
        <f t="shared" si="4"/>
        <v>-505.13999999999987</v>
      </c>
      <c r="S27">
        <v>1437.8330000000001</v>
      </c>
      <c r="T27">
        <v>7315.8119999999999</v>
      </c>
      <c r="Z27">
        <v>11.25</v>
      </c>
      <c r="AA27">
        <v>3</v>
      </c>
      <c r="AB27">
        <v>0.2</v>
      </c>
      <c r="AC27">
        <f>AB27*AA27*Z27</f>
        <v>6.7500000000000009</v>
      </c>
    </row>
    <row r="28" spans="2:29">
      <c r="B28">
        <v>1437.8330000000001</v>
      </c>
      <c r="C28">
        <v>7315.8119999999999</v>
      </c>
      <c r="D28">
        <f t="shared" si="0"/>
        <v>2396.5320000000002</v>
      </c>
      <c r="E28">
        <v>1437.8330000000001</v>
      </c>
      <c r="F28">
        <v>1251.58</v>
      </c>
      <c r="G28">
        <f t="shared" si="1"/>
        <v>0</v>
      </c>
      <c r="H28" s="5">
        <v>1760</v>
      </c>
      <c r="I28" s="6">
        <v>6670.6999999999989</v>
      </c>
      <c r="J28">
        <f t="shared" si="2"/>
        <v>322.16699999999992</v>
      </c>
      <c r="K28" s="4">
        <f t="shared" si="3"/>
        <v>4274.1679999999988</v>
      </c>
      <c r="L28">
        <v>14.147100000000009</v>
      </c>
      <c r="M28" s="4">
        <f t="shared" si="4"/>
        <v>14.147100000000009</v>
      </c>
      <c r="S28">
        <v>1440</v>
      </c>
      <c r="T28">
        <v>7536.7539999999999</v>
      </c>
    </row>
    <row r="29" spans="2:29">
      <c r="B29">
        <v>1440</v>
      </c>
      <c r="C29">
        <v>7536.7539999999999</v>
      </c>
      <c r="D29">
        <f t="shared" si="0"/>
        <v>220.94200000000001</v>
      </c>
      <c r="E29">
        <v>1440</v>
      </c>
      <c r="F29">
        <v>1251.58</v>
      </c>
      <c r="G29">
        <f t="shared" si="1"/>
        <v>0</v>
      </c>
      <c r="H29" s="5">
        <v>1774.5</v>
      </c>
      <c r="I29" s="6">
        <v>2824.9296937499998</v>
      </c>
      <c r="J29">
        <f t="shared" si="2"/>
        <v>334.5</v>
      </c>
      <c r="K29" s="4">
        <f t="shared" si="3"/>
        <v>2603.9876937499998</v>
      </c>
      <c r="L29">
        <v>750.3612250000001</v>
      </c>
      <c r="M29" s="4">
        <f t="shared" si="4"/>
        <v>750.3612250000001</v>
      </c>
      <c r="S29">
        <v>1460</v>
      </c>
      <c r="T29">
        <v>8452.4339999999993</v>
      </c>
    </row>
    <row r="30" spans="2:29">
      <c r="B30">
        <v>1460</v>
      </c>
      <c r="C30">
        <v>8452.4339999999993</v>
      </c>
      <c r="D30">
        <f t="shared" si="0"/>
        <v>915.67999999999938</v>
      </c>
      <c r="E30">
        <v>1460</v>
      </c>
      <c r="F30">
        <v>1251.58</v>
      </c>
      <c r="G30">
        <f t="shared" si="1"/>
        <v>0</v>
      </c>
      <c r="H30" s="5">
        <v>1895.5</v>
      </c>
      <c r="I30" s="6"/>
      <c r="J30">
        <f t="shared" si="2"/>
        <v>435.5</v>
      </c>
      <c r="K30" s="4">
        <f t="shared" si="3"/>
        <v>-915.67999999999938</v>
      </c>
      <c r="M30" s="4">
        <f t="shared" si="4"/>
        <v>0</v>
      </c>
      <c r="S30">
        <v>1480</v>
      </c>
      <c r="T30">
        <v>8452.4339999999993</v>
      </c>
    </row>
    <row r="31" spans="2:29">
      <c r="B31">
        <v>1480</v>
      </c>
      <c r="C31">
        <v>8452.4339999999993</v>
      </c>
      <c r="D31">
        <f t="shared" si="0"/>
        <v>0</v>
      </c>
      <c r="E31">
        <v>1480</v>
      </c>
      <c r="F31">
        <v>1251.58</v>
      </c>
      <c r="G31">
        <f t="shared" si="1"/>
        <v>0</v>
      </c>
      <c r="H31" s="5">
        <v>1900</v>
      </c>
      <c r="I31" s="6">
        <v>343.45850624999997</v>
      </c>
      <c r="J31">
        <f t="shared" si="2"/>
        <v>420</v>
      </c>
      <c r="K31" s="4">
        <f t="shared" si="3"/>
        <v>343.45850624999997</v>
      </c>
      <c r="M31" s="4">
        <f t="shared" si="4"/>
        <v>0</v>
      </c>
      <c r="S31">
        <v>1500</v>
      </c>
      <c r="T31">
        <v>8452.4339999999993</v>
      </c>
    </row>
    <row r="32" spans="2:29">
      <c r="B32">
        <v>1500</v>
      </c>
      <c r="C32">
        <v>8452.4339999999993</v>
      </c>
      <c r="D32">
        <f t="shared" si="0"/>
        <v>0</v>
      </c>
      <c r="E32">
        <v>1500</v>
      </c>
      <c r="F32">
        <v>1251.58</v>
      </c>
      <c r="G32">
        <f t="shared" si="1"/>
        <v>0</v>
      </c>
      <c r="H32" s="5">
        <v>1920</v>
      </c>
      <c r="I32" s="6">
        <v>2169.1899999999996</v>
      </c>
      <c r="J32">
        <f t="shared" si="2"/>
        <v>420</v>
      </c>
      <c r="K32" s="4">
        <f t="shared" si="3"/>
        <v>2169.1899999999996</v>
      </c>
      <c r="M32" s="4">
        <f t="shared" si="4"/>
        <v>0</v>
      </c>
      <c r="S32">
        <v>1520</v>
      </c>
      <c r="T32">
        <v>8452.4339999999993</v>
      </c>
    </row>
    <row r="33" spans="2:20">
      <c r="B33">
        <v>1520</v>
      </c>
      <c r="C33">
        <v>8452.4339999999993</v>
      </c>
      <c r="D33">
        <f t="shared" si="0"/>
        <v>0</v>
      </c>
      <c r="E33">
        <v>1520</v>
      </c>
      <c r="F33">
        <v>1251.58</v>
      </c>
      <c r="G33">
        <f t="shared" si="1"/>
        <v>0</v>
      </c>
      <c r="H33" s="5">
        <v>1940</v>
      </c>
      <c r="I33" s="6">
        <v>3483.2799999999997</v>
      </c>
      <c r="J33">
        <f t="shared" si="2"/>
        <v>420</v>
      </c>
      <c r="K33" s="4">
        <f t="shared" si="3"/>
        <v>3483.2799999999997</v>
      </c>
      <c r="M33" s="4">
        <f t="shared" si="4"/>
        <v>0</v>
      </c>
      <c r="S33">
        <v>1540</v>
      </c>
      <c r="T33">
        <v>8452.4339999999993</v>
      </c>
    </row>
    <row r="34" spans="2:20">
      <c r="B34">
        <v>1540</v>
      </c>
      <c r="C34">
        <v>8452.4339999999993</v>
      </c>
      <c r="D34">
        <f t="shared" si="0"/>
        <v>0</v>
      </c>
      <c r="E34">
        <v>1540</v>
      </c>
      <c r="F34">
        <v>1251.58</v>
      </c>
      <c r="G34">
        <f t="shared" si="1"/>
        <v>0</v>
      </c>
      <c r="H34" s="5">
        <v>1947.117</v>
      </c>
      <c r="I34" s="6">
        <v>1602.8515964999913</v>
      </c>
      <c r="J34">
        <f t="shared" si="2"/>
        <v>407.11699999999996</v>
      </c>
      <c r="K34" s="4">
        <f t="shared" si="3"/>
        <v>1602.8515964999913</v>
      </c>
      <c r="M34" s="4">
        <f t="shared" si="4"/>
        <v>0</v>
      </c>
      <c r="S34">
        <v>1552.5550000000001</v>
      </c>
      <c r="T34">
        <v>8452.4339999999993</v>
      </c>
    </row>
    <row r="35" spans="2:20">
      <c r="B35">
        <v>1552.5550000000001</v>
      </c>
      <c r="C35">
        <v>8452.4339999999993</v>
      </c>
      <c r="D35">
        <f t="shared" si="0"/>
        <v>0</v>
      </c>
      <c r="E35">
        <v>1552.5550000000001</v>
      </c>
      <c r="F35">
        <v>1251.58</v>
      </c>
      <c r="G35">
        <f t="shared" si="1"/>
        <v>0</v>
      </c>
      <c r="H35" s="5">
        <v>1960</v>
      </c>
      <c r="I35" s="6">
        <v>2693.126735000008</v>
      </c>
      <c r="J35">
        <f t="shared" si="2"/>
        <v>407.44499999999994</v>
      </c>
      <c r="K35" s="4">
        <f t="shared" si="3"/>
        <v>2693.126735000008</v>
      </c>
      <c r="M35" s="4">
        <f t="shared" si="4"/>
        <v>0</v>
      </c>
      <c r="S35">
        <v>1560</v>
      </c>
      <c r="T35">
        <v>8452.4339999999993</v>
      </c>
    </row>
    <row r="36" spans="2:20">
      <c r="B36">
        <v>1560</v>
      </c>
      <c r="C36">
        <v>8452.4339999999993</v>
      </c>
      <c r="D36">
        <f t="shared" si="0"/>
        <v>0</v>
      </c>
      <c r="E36">
        <v>1560</v>
      </c>
      <c r="F36">
        <v>1251.58</v>
      </c>
      <c r="G36">
        <f t="shared" si="1"/>
        <v>0</v>
      </c>
      <c r="H36" s="5">
        <v>1980</v>
      </c>
      <c r="I36" s="6">
        <v>2258.38</v>
      </c>
      <c r="J36">
        <f t="shared" si="2"/>
        <v>420</v>
      </c>
      <c r="K36" s="4">
        <f t="shared" si="3"/>
        <v>2258.38</v>
      </c>
      <c r="L36">
        <v>19.53</v>
      </c>
      <c r="M36" s="4">
        <f t="shared" si="4"/>
        <v>19.53</v>
      </c>
      <c r="S36">
        <v>1580</v>
      </c>
      <c r="T36">
        <v>8742.7540000000008</v>
      </c>
    </row>
    <row r="37" spans="2:20">
      <c r="B37">
        <v>1580</v>
      </c>
      <c r="C37">
        <v>8742.7540000000008</v>
      </c>
      <c r="D37">
        <f t="shared" si="0"/>
        <v>290.32000000000153</v>
      </c>
      <c r="E37">
        <v>1580</v>
      </c>
      <c r="F37">
        <v>1303.58</v>
      </c>
      <c r="G37">
        <f t="shared" si="1"/>
        <v>52</v>
      </c>
      <c r="H37" s="5">
        <v>1982.117</v>
      </c>
      <c r="I37" s="6">
        <v>76.100857499998625</v>
      </c>
      <c r="J37">
        <f t="shared" si="2"/>
        <v>402.11699999999996</v>
      </c>
      <c r="K37" s="4">
        <f t="shared" si="3"/>
        <v>-214.2191425000029</v>
      </c>
      <c r="L37">
        <v>5.736011499999897</v>
      </c>
      <c r="M37" s="4">
        <f t="shared" si="4"/>
        <v>-46.263988500000103</v>
      </c>
      <c r="S37">
        <v>1600</v>
      </c>
      <c r="T37">
        <v>9186.4539999999997</v>
      </c>
    </row>
    <row r="38" spans="2:20">
      <c r="B38">
        <v>1600</v>
      </c>
      <c r="C38">
        <v>9186.4539999999997</v>
      </c>
      <c r="D38">
        <f t="shared" si="0"/>
        <v>443.69999999999891</v>
      </c>
      <c r="E38">
        <v>1600</v>
      </c>
      <c r="F38">
        <v>1439.05</v>
      </c>
      <c r="G38">
        <f t="shared" si="1"/>
        <v>135.47000000000003</v>
      </c>
      <c r="H38" s="5">
        <v>2000</v>
      </c>
      <c r="I38" s="6">
        <v>278.31312900000063</v>
      </c>
      <c r="J38">
        <f t="shared" si="2"/>
        <v>400</v>
      </c>
      <c r="K38" s="4">
        <f t="shared" si="3"/>
        <v>-165.38687099999828</v>
      </c>
      <c r="L38">
        <v>273.8066130000006</v>
      </c>
      <c r="M38" s="4">
        <f t="shared" si="4"/>
        <v>138.33661300000057</v>
      </c>
      <c r="S38">
        <v>1607.5550000000001</v>
      </c>
      <c r="T38">
        <v>9255.59</v>
      </c>
    </row>
    <row r="39" spans="2:20">
      <c r="B39">
        <v>1607.5550000000001</v>
      </c>
      <c r="C39">
        <v>9255.59</v>
      </c>
      <c r="D39">
        <f t="shared" si="0"/>
        <v>69.136000000000422</v>
      </c>
      <c r="E39">
        <v>1607.5550000000001</v>
      </c>
      <c r="F39">
        <v>1521.1120000000001</v>
      </c>
      <c r="G39">
        <f t="shared" si="1"/>
        <v>82.062000000000126</v>
      </c>
      <c r="H39" s="5"/>
      <c r="I39" s="6"/>
      <c r="S39">
        <v>1620</v>
      </c>
      <c r="T39">
        <v>9275.4269999999997</v>
      </c>
    </row>
    <row r="40" spans="2:20">
      <c r="B40">
        <v>1620</v>
      </c>
      <c r="C40">
        <v>9275.4269999999997</v>
      </c>
      <c r="D40">
        <f t="shared" si="0"/>
        <v>19.836999999999534</v>
      </c>
      <c r="E40">
        <v>1620</v>
      </c>
      <c r="F40">
        <v>1763.0740000000001</v>
      </c>
      <c r="G40">
        <f t="shared" si="1"/>
        <v>241.96199999999999</v>
      </c>
      <c r="H40" s="5"/>
      <c r="I40" s="6"/>
      <c r="S40">
        <v>1640</v>
      </c>
      <c r="T40">
        <v>9280.0769999999993</v>
      </c>
    </row>
    <row r="41" spans="2:20">
      <c r="B41">
        <v>1640</v>
      </c>
      <c r="C41">
        <v>9280.0769999999993</v>
      </c>
      <c r="D41">
        <f t="shared" si="0"/>
        <v>4.6499999999996362</v>
      </c>
      <c r="E41">
        <v>1640</v>
      </c>
      <c r="F41">
        <v>2304.0039999999999</v>
      </c>
      <c r="G41">
        <f t="shared" si="1"/>
        <v>540.92999999999984</v>
      </c>
      <c r="H41" s="5"/>
      <c r="I41" s="6"/>
      <c r="S41">
        <v>1642.5550000000001</v>
      </c>
      <c r="T41">
        <v>9280.6959999999999</v>
      </c>
    </row>
    <row r="42" spans="2:20">
      <c r="B42">
        <v>1642.5550000000001</v>
      </c>
      <c r="C42">
        <v>9280.6959999999999</v>
      </c>
      <c r="D42">
        <f t="shared" si="0"/>
        <v>0.61900000000059663</v>
      </c>
      <c r="E42">
        <v>1642.5550000000001</v>
      </c>
      <c r="F42">
        <v>2375.1669999999999</v>
      </c>
      <c r="G42">
        <f t="shared" si="1"/>
        <v>71.163000000000011</v>
      </c>
      <c r="H42" s="5"/>
      <c r="I42" s="6"/>
      <c r="S42">
        <v>1660</v>
      </c>
      <c r="T42">
        <v>9299.1010000000006</v>
      </c>
    </row>
    <row r="43" spans="2:20">
      <c r="B43">
        <v>1660</v>
      </c>
      <c r="C43">
        <v>9299.1010000000006</v>
      </c>
      <c r="D43">
        <f t="shared" si="0"/>
        <v>18.405000000000655</v>
      </c>
      <c r="E43">
        <v>1660</v>
      </c>
      <c r="F43">
        <v>2753.0430000000001</v>
      </c>
      <c r="G43">
        <f t="shared" si="1"/>
        <v>377.8760000000002</v>
      </c>
      <c r="H43" s="5"/>
      <c r="I43" s="6"/>
      <c r="S43">
        <v>1680</v>
      </c>
      <c r="T43">
        <v>10678.88</v>
      </c>
    </row>
    <row r="44" spans="2:20">
      <c r="B44">
        <v>1680</v>
      </c>
      <c r="C44">
        <v>10678.88</v>
      </c>
      <c r="D44">
        <f t="shared" si="0"/>
        <v>1379.7789999999986</v>
      </c>
      <c r="E44">
        <v>1680</v>
      </c>
      <c r="F44">
        <v>2964.8029999999999</v>
      </c>
      <c r="G44">
        <f t="shared" si="1"/>
        <v>211.75999999999976</v>
      </c>
      <c r="H44" s="5"/>
      <c r="I44" s="6"/>
      <c r="S44">
        <v>1700</v>
      </c>
      <c r="T44">
        <v>15047.61</v>
      </c>
    </row>
    <row r="45" spans="2:20">
      <c r="B45">
        <v>1700</v>
      </c>
      <c r="C45">
        <v>15047.61</v>
      </c>
      <c r="D45">
        <f t="shared" si="0"/>
        <v>4368.7300000000014</v>
      </c>
      <c r="E45">
        <v>1700</v>
      </c>
      <c r="F45">
        <v>3017.433</v>
      </c>
      <c r="G45">
        <f t="shared" si="1"/>
        <v>52.630000000000109</v>
      </c>
      <c r="H45" s="5"/>
      <c r="I45" s="6"/>
      <c r="S45">
        <v>1720</v>
      </c>
      <c r="T45">
        <v>22206.17</v>
      </c>
    </row>
    <row r="46" spans="2:20">
      <c r="B46">
        <v>1720</v>
      </c>
      <c r="C46">
        <v>22206.17</v>
      </c>
      <c r="D46">
        <f t="shared" si="0"/>
        <v>7158.5599999999977</v>
      </c>
      <c r="E46">
        <v>1720</v>
      </c>
      <c r="F46">
        <v>3020.3229999999999</v>
      </c>
      <c r="G46">
        <f t="shared" si="1"/>
        <v>2.8899999999998727</v>
      </c>
      <c r="H46" s="5"/>
      <c r="I46" s="6"/>
      <c r="S46">
        <v>1740</v>
      </c>
      <c r="T46">
        <v>29975.82</v>
      </c>
    </row>
    <row r="47" spans="2:20">
      <c r="B47">
        <v>1740</v>
      </c>
      <c r="C47">
        <v>29975.82</v>
      </c>
      <c r="D47">
        <f t="shared" si="0"/>
        <v>7769.6500000000015</v>
      </c>
      <c r="E47">
        <v>1740</v>
      </c>
      <c r="F47">
        <v>3020.3229999999999</v>
      </c>
      <c r="G47">
        <f t="shared" si="1"/>
        <v>0</v>
      </c>
      <c r="H47" s="5"/>
      <c r="I47" s="6"/>
      <c r="S47">
        <v>1760</v>
      </c>
      <c r="T47">
        <v>36646.519999999997</v>
      </c>
    </row>
    <row r="48" spans="2:20">
      <c r="B48">
        <v>1760</v>
      </c>
      <c r="C48">
        <v>36646.519999999997</v>
      </c>
      <c r="D48">
        <f t="shared" si="0"/>
        <v>6670.6999999999971</v>
      </c>
      <c r="E48">
        <v>1760</v>
      </c>
      <c r="F48">
        <v>3020.3229999999999</v>
      </c>
      <c r="G48">
        <f t="shared" si="1"/>
        <v>0</v>
      </c>
      <c r="H48" s="5"/>
      <c r="I48" s="6"/>
      <c r="S48">
        <v>1780</v>
      </c>
      <c r="T48">
        <v>39698.519999999997</v>
      </c>
    </row>
    <row r="49" spans="2:20">
      <c r="B49">
        <v>1780</v>
      </c>
      <c r="C49">
        <v>39698.519999999997</v>
      </c>
      <c r="D49">
        <f t="shared" si="0"/>
        <v>3052</v>
      </c>
      <c r="E49">
        <v>1780</v>
      </c>
      <c r="F49">
        <v>3020.3229999999999</v>
      </c>
      <c r="G49">
        <f t="shared" si="1"/>
        <v>0</v>
      </c>
      <c r="H49" s="5"/>
      <c r="I49" s="6"/>
      <c r="S49">
        <v>1794.836</v>
      </c>
      <c r="T49">
        <v>39698.519999999997</v>
      </c>
    </row>
    <row r="50" spans="2:20">
      <c r="B50">
        <v>1794.836</v>
      </c>
      <c r="C50">
        <v>39698.519999999997</v>
      </c>
      <c r="D50">
        <f t="shared" si="0"/>
        <v>0</v>
      </c>
      <c r="E50">
        <v>1794.836</v>
      </c>
      <c r="F50">
        <v>3020.3229999999999</v>
      </c>
      <c r="G50">
        <f t="shared" si="1"/>
        <v>0</v>
      </c>
      <c r="H50" s="5"/>
      <c r="I50" s="6"/>
      <c r="S50">
        <v>1800</v>
      </c>
      <c r="T50">
        <v>39698.519999999997</v>
      </c>
    </row>
    <row r="51" spans="2:20">
      <c r="B51">
        <v>1800</v>
      </c>
      <c r="C51">
        <v>39698.519999999997</v>
      </c>
      <c r="D51">
        <f t="shared" si="0"/>
        <v>0</v>
      </c>
      <c r="E51">
        <v>1800</v>
      </c>
      <c r="F51">
        <v>3020.3229999999999</v>
      </c>
      <c r="G51">
        <f t="shared" si="1"/>
        <v>0</v>
      </c>
      <c r="H51" s="5"/>
      <c r="I51" s="6"/>
      <c r="S51">
        <v>1820</v>
      </c>
      <c r="T51">
        <v>39698.519999999997</v>
      </c>
    </row>
    <row r="52" spans="2:20">
      <c r="B52">
        <v>1820</v>
      </c>
      <c r="C52">
        <v>39698.519999999997</v>
      </c>
      <c r="D52">
        <f t="shared" si="0"/>
        <v>0</v>
      </c>
      <c r="E52">
        <v>1820</v>
      </c>
      <c r="F52">
        <v>3020.3229999999999</v>
      </c>
      <c r="G52">
        <f t="shared" si="1"/>
        <v>0</v>
      </c>
      <c r="H52" s="5"/>
      <c r="I52" s="6"/>
      <c r="S52">
        <v>1840</v>
      </c>
      <c r="T52">
        <v>39698.519999999997</v>
      </c>
    </row>
    <row r="53" spans="2:20">
      <c r="B53">
        <v>1840</v>
      </c>
      <c r="C53">
        <v>39698.519999999997</v>
      </c>
      <c r="D53">
        <f t="shared" si="0"/>
        <v>0</v>
      </c>
      <c r="E53">
        <v>1840</v>
      </c>
      <c r="F53">
        <v>3020.3229999999999</v>
      </c>
      <c r="G53">
        <f t="shared" si="1"/>
        <v>0</v>
      </c>
      <c r="H53" s="5"/>
      <c r="I53" s="6"/>
      <c r="S53">
        <v>1860</v>
      </c>
      <c r="T53">
        <v>39698.519999999997</v>
      </c>
    </row>
    <row r="54" spans="2:20">
      <c r="B54">
        <v>1860</v>
      </c>
      <c r="C54">
        <v>39698.519999999997</v>
      </c>
      <c r="D54">
        <f t="shared" si="0"/>
        <v>0</v>
      </c>
      <c r="E54">
        <v>1860</v>
      </c>
      <c r="F54">
        <v>3020.3229999999999</v>
      </c>
      <c r="G54">
        <f t="shared" si="1"/>
        <v>0</v>
      </c>
      <c r="H54" s="5"/>
      <c r="I54" s="6"/>
      <c r="S54">
        <v>1880</v>
      </c>
      <c r="T54">
        <v>39698.519999999997</v>
      </c>
    </row>
    <row r="55" spans="2:20">
      <c r="B55">
        <v>1880</v>
      </c>
      <c r="C55">
        <v>39698.519999999997</v>
      </c>
      <c r="D55">
        <f t="shared" si="0"/>
        <v>0</v>
      </c>
      <c r="E55">
        <v>1880</v>
      </c>
      <c r="F55">
        <v>3020.3229999999999</v>
      </c>
      <c r="G55">
        <f t="shared" si="1"/>
        <v>0</v>
      </c>
      <c r="H55" s="5"/>
      <c r="I55" s="6"/>
      <c r="S55">
        <v>1900</v>
      </c>
      <c r="T55">
        <v>40558.51</v>
      </c>
    </row>
    <row r="56" spans="2:20">
      <c r="B56">
        <v>1900</v>
      </c>
      <c r="C56">
        <v>40558.51</v>
      </c>
      <c r="D56">
        <f t="shared" si="0"/>
        <v>859.99000000000524</v>
      </c>
      <c r="E56">
        <v>1900</v>
      </c>
      <c r="F56">
        <v>3020.3229999999999</v>
      </c>
      <c r="G56">
        <f t="shared" si="1"/>
        <v>0</v>
      </c>
      <c r="H56" s="5"/>
      <c r="I56" s="6"/>
      <c r="S56">
        <v>1920</v>
      </c>
      <c r="T56">
        <v>42727.7</v>
      </c>
    </row>
    <row r="57" spans="2:20">
      <c r="B57">
        <v>1920</v>
      </c>
      <c r="C57">
        <v>42727.7</v>
      </c>
      <c r="D57">
        <f t="shared" si="0"/>
        <v>2169.1899999999951</v>
      </c>
      <c r="E57">
        <v>1920</v>
      </c>
      <c r="F57">
        <v>3020.3229999999999</v>
      </c>
      <c r="G57">
        <f t="shared" si="1"/>
        <v>0</v>
      </c>
      <c r="H57" s="5"/>
      <c r="I57" s="6"/>
      <c r="S57">
        <v>1940</v>
      </c>
      <c r="T57">
        <v>46210.98</v>
      </c>
    </row>
    <row r="58" spans="2:20">
      <c r="B58">
        <v>1940</v>
      </c>
      <c r="C58">
        <v>46210.98</v>
      </c>
      <c r="D58">
        <f t="shared" si="0"/>
        <v>3483.2800000000061</v>
      </c>
      <c r="E58">
        <v>1940</v>
      </c>
      <c r="F58">
        <v>3020.3229999999999</v>
      </c>
      <c r="G58">
        <f t="shared" si="1"/>
        <v>0</v>
      </c>
      <c r="H58" s="5"/>
      <c r="I58" s="6"/>
      <c r="S58">
        <v>1947.117</v>
      </c>
      <c r="T58">
        <v>47813.84</v>
      </c>
    </row>
    <row r="59" spans="2:20">
      <c r="B59">
        <v>1947.117</v>
      </c>
      <c r="C59">
        <v>47813.84</v>
      </c>
      <c r="D59">
        <f t="shared" si="0"/>
        <v>1602.8599999999933</v>
      </c>
      <c r="E59">
        <v>1947.117</v>
      </c>
      <c r="F59">
        <v>3020.3229999999999</v>
      </c>
      <c r="G59">
        <f t="shared" si="1"/>
        <v>0</v>
      </c>
      <c r="H59" s="5"/>
      <c r="I59" s="6"/>
      <c r="S59">
        <v>1960</v>
      </c>
      <c r="T59">
        <v>50506.96</v>
      </c>
    </row>
    <row r="60" spans="2:20">
      <c r="B60">
        <v>1960</v>
      </c>
      <c r="C60">
        <v>50506.96</v>
      </c>
      <c r="D60">
        <f t="shared" si="0"/>
        <v>2693.1200000000026</v>
      </c>
      <c r="E60">
        <v>1960</v>
      </c>
      <c r="F60">
        <v>3020.3229999999999</v>
      </c>
      <c r="G60">
        <f t="shared" si="1"/>
        <v>0</v>
      </c>
      <c r="H60" s="5"/>
      <c r="I60" s="6"/>
      <c r="S60">
        <v>1980</v>
      </c>
      <c r="T60">
        <v>52765.34</v>
      </c>
    </row>
    <row r="61" spans="2:20">
      <c r="B61">
        <v>1980</v>
      </c>
      <c r="C61">
        <v>52765.34</v>
      </c>
      <c r="D61">
        <f t="shared" si="0"/>
        <v>2258.3799999999974</v>
      </c>
      <c r="E61">
        <v>1980</v>
      </c>
      <c r="F61">
        <v>3039.8530000000001</v>
      </c>
      <c r="G61">
        <f t="shared" si="1"/>
        <v>19.5300000000002</v>
      </c>
      <c r="H61" s="5"/>
      <c r="I61" s="6"/>
      <c r="S61">
        <v>1982.117</v>
      </c>
      <c r="T61">
        <v>52841.440000000002</v>
      </c>
    </row>
    <row r="62" spans="2:20">
      <c r="B62">
        <v>1982.117</v>
      </c>
      <c r="C62">
        <v>52841.440000000002</v>
      </c>
      <c r="D62">
        <f t="shared" si="0"/>
        <v>76.100000000005821</v>
      </c>
      <c r="E62">
        <v>1982.117</v>
      </c>
      <c r="F62">
        <v>3045.5889999999999</v>
      </c>
      <c r="G62">
        <f t="shared" si="1"/>
        <v>5.7359999999998763</v>
      </c>
      <c r="H62" s="5"/>
      <c r="I62" s="6"/>
      <c r="S62">
        <v>2000</v>
      </c>
      <c r="T62">
        <v>53119.75</v>
      </c>
    </row>
    <row r="63" spans="2:20">
      <c r="B63">
        <v>2000</v>
      </c>
      <c r="C63">
        <v>53119.75</v>
      </c>
      <c r="D63">
        <f t="shared" si="0"/>
        <v>278.30999999999767</v>
      </c>
      <c r="E63">
        <v>2000</v>
      </c>
      <c r="F63">
        <v>3319.3960000000002</v>
      </c>
      <c r="G63">
        <f t="shared" si="1"/>
        <v>273.80700000000024</v>
      </c>
      <c r="H63" s="5"/>
      <c r="I63" s="6"/>
      <c r="S63">
        <v>1000</v>
      </c>
      <c r="T63">
        <v>0</v>
      </c>
    </row>
    <row r="64" spans="2:20">
      <c r="H64" s="5"/>
      <c r="I64" s="6"/>
      <c r="S64">
        <v>1001.792</v>
      </c>
      <c r="T64">
        <v>0</v>
      </c>
    </row>
    <row r="65" spans="8:20">
      <c r="H65" s="5"/>
      <c r="I65" s="6"/>
      <c r="S65">
        <v>1020</v>
      </c>
      <c r="T65">
        <v>0</v>
      </c>
    </row>
    <row r="66" spans="8:20">
      <c r="H66" s="5"/>
      <c r="I66" s="6"/>
      <c r="S66">
        <v>1040</v>
      </c>
      <c r="T66">
        <v>0</v>
      </c>
    </row>
    <row r="67" spans="8:20">
      <c r="H67" s="5"/>
      <c r="I67" s="6"/>
      <c r="S67">
        <v>1060</v>
      </c>
      <c r="T67">
        <v>0</v>
      </c>
    </row>
    <row r="68" spans="8:20">
      <c r="H68" s="5"/>
      <c r="I68" s="6"/>
      <c r="S68">
        <v>1080</v>
      </c>
      <c r="T68">
        <v>0</v>
      </c>
    </row>
    <row r="69" spans="8:20">
      <c r="H69" s="5"/>
      <c r="I69" s="6"/>
      <c r="S69">
        <v>1090.4680000000001</v>
      </c>
      <c r="T69">
        <v>0</v>
      </c>
    </row>
    <row r="70" spans="8:20">
      <c r="H70" s="5"/>
      <c r="I70" s="6"/>
      <c r="S70">
        <v>1100</v>
      </c>
      <c r="T70">
        <v>0</v>
      </c>
    </row>
    <row r="71" spans="8:20">
      <c r="H71" s="5"/>
      <c r="I71" s="6"/>
      <c r="S71">
        <v>1120</v>
      </c>
      <c r="T71">
        <v>0</v>
      </c>
    </row>
    <row r="72" spans="8:20">
      <c r="H72" s="5"/>
      <c r="I72" s="6"/>
      <c r="S72">
        <v>1140</v>
      </c>
      <c r="T72">
        <v>0</v>
      </c>
    </row>
    <row r="73" spans="8:20">
      <c r="S73">
        <v>1160</v>
      </c>
      <c r="T73">
        <v>0</v>
      </c>
    </row>
    <row r="74" spans="8:20">
      <c r="S74">
        <v>1180</v>
      </c>
      <c r="T74">
        <v>0</v>
      </c>
    </row>
    <row r="75" spans="8:20">
      <c r="S75">
        <v>1200</v>
      </c>
      <c r="T75">
        <v>0</v>
      </c>
    </row>
    <row r="76" spans="8:20">
      <c r="S76">
        <v>1220</v>
      </c>
      <c r="T76">
        <v>0</v>
      </c>
    </row>
    <row r="77" spans="8:20">
      <c r="S77">
        <v>1240</v>
      </c>
      <c r="T77">
        <v>69.28</v>
      </c>
    </row>
    <row r="78" spans="8:20">
      <c r="S78">
        <v>1260</v>
      </c>
      <c r="T78">
        <v>138.56</v>
      </c>
    </row>
    <row r="79" spans="8:20">
      <c r="S79">
        <v>1268.1110000000001</v>
      </c>
      <c r="T79">
        <v>138.56</v>
      </c>
    </row>
    <row r="80" spans="8:20">
      <c r="S80">
        <v>1280</v>
      </c>
      <c r="T80">
        <v>138.56</v>
      </c>
    </row>
    <row r="81" spans="19:20">
      <c r="S81">
        <v>1300</v>
      </c>
      <c r="T81">
        <v>138.56</v>
      </c>
    </row>
    <row r="82" spans="19:20">
      <c r="S82">
        <v>1320</v>
      </c>
      <c r="T82">
        <v>138.56</v>
      </c>
    </row>
    <row r="83" spans="19:20">
      <c r="S83">
        <v>1323.1110000000001</v>
      </c>
      <c r="T83">
        <v>138.56</v>
      </c>
    </row>
    <row r="84" spans="19:20">
      <c r="S84">
        <v>1340</v>
      </c>
      <c r="T84">
        <v>138.56</v>
      </c>
    </row>
    <row r="85" spans="19:20">
      <c r="S85">
        <v>1360</v>
      </c>
      <c r="T85">
        <v>138.56</v>
      </c>
    </row>
    <row r="86" spans="19:20">
      <c r="S86">
        <v>1380</v>
      </c>
      <c r="T86">
        <v>189.93</v>
      </c>
    </row>
    <row r="87" spans="19:20">
      <c r="S87">
        <v>1400</v>
      </c>
      <c r="T87">
        <v>746.44</v>
      </c>
    </row>
    <row r="88" spans="19:20">
      <c r="S88">
        <v>1420</v>
      </c>
      <c r="T88">
        <v>1251.58</v>
      </c>
    </row>
    <row r="89" spans="19:20">
      <c r="S89">
        <v>1437.8330000000001</v>
      </c>
      <c r="T89">
        <v>1251.58</v>
      </c>
    </row>
    <row r="90" spans="19:20">
      <c r="S90">
        <v>1440</v>
      </c>
      <c r="T90">
        <v>1251.58</v>
      </c>
    </row>
    <row r="91" spans="19:20">
      <c r="S91">
        <v>1460</v>
      </c>
      <c r="T91">
        <v>1251.58</v>
      </c>
    </row>
    <row r="92" spans="19:20">
      <c r="S92">
        <v>1480</v>
      </c>
      <c r="T92">
        <v>1251.58</v>
      </c>
    </row>
    <row r="93" spans="19:20">
      <c r="S93">
        <v>1500</v>
      </c>
      <c r="T93">
        <v>1251.58</v>
      </c>
    </row>
    <row r="94" spans="19:20">
      <c r="S94">
        <v>1520</v>
      </c>
      <c r="T94">
        <v>1251.58</v>
      </c>
    </row>
    <row r="95" spans="19:20">
      <c r="S95">
        <v>1540</v>
      </c>
      <c r="T95">
        <v>1251.58</v>
      </c>
    </row>
    <row r="96" spans="19:20">
      <c r="S96">
        <v>1552.5550000000001</v>
      </c>
      <c r="T96">
        <v>1251.58</v>
      </c>
    </row>
    <row r="97" spans="19:20">
      <c r="S97">
        <v>1560</v>
      </c>
      <c r="T97">
        <v>1251.58</v>
      </c>
    </row>
    <row r="98" spans="19:20">
      <c r="S98">
        <v>1580</v>
      </c>
      <c r="T98">
        <v>1303.58</v>
      </c>
    </row>
    <row r="99" spans="19:20">
      <c r="S99">
        <v>1600</v>
      </c>
      <c r="T99">
        <v>1439.05</v>
      </c>
    </row>
    <row r="100" spans="19:20">
      <c r="S100">
        <v>1607.5550000000001</v>
      </c>
      <c r="T100">
        <v>1521.1120000000001</v>
      </c>
    </row>
    <row r="101" spans="19:20">
      <c r="S101">
        <v>1620</v>
      </c>
      <c r="T101">
        <v>1763.0740000000001</v>
      </c>
    </row>
    <row r="102" spans="19:20">
      <c r="S102">
        <v>1640</v>
      </c>
      <c r="T102">
        <v>2304.0039999999999</v>
      </c>
    </row>
    <row r="103" spans="19:20">
      <c r="S103">
        <v>1642.5550000000001</v>
      </c>
      <c r="T103">
        <v>2375.1669999999999</v>
      </c>
    </row>
    <row r="104" spans="19:20">
      <c r="S104">
        <v>1660</v>
      </c>
      <c r="T104">
        <v>2753.0430000000001</v>
      </c>
    </row>
    <row r="105" spans="19:20">
      <c r="S105">
        <v>1680</v>
      </c>
      <c r="T105">
        <v>2964.8029999999999</v>
      </c>
    </row>
    <row r="106" spans="19:20">
      <c r="S106">
        <v>1700</v>
      </c>
      <c r="T106">
        <v>3017.433</v>
      </c>
    </row>
    <row r="107" spans="19:20">
      <c r="S107">
        <v>1720</v>
      </c>
      <c r="T107">
        <v>3020.3229999999999</v>
      </c>
    </row>
    <row r="108" spans="19:20">
      <c r="S108">
        <v>1740</v>
      </c>
      <c r="T108">
        <v>3020.3229999999999</v>
      </c>
    </row>
    <row r="109" spans="19:20">
      <c r="S109">
        <v>1760</v>
      </c>
      <c r="T109">
        <v>3020.3229999999999</v>
      </c>
    </row>
    <row r="110" spans="19:20">
      <c r="S110">
        <v>1780</v>
      </c>
      <c r="T110">
        <v>3020.3229999999999</v>
      </c>
    </row>
    <row r="111" spans="19:20">
      <c r="S111">
        <v>1794.836</v>
      </c>
      <c r="T111">
        <v>3020.3229999999999</v>
      </c>
    </row>
    <row r="112" spans="19:20">
      <c r="S112">
        <v>1800</v>
      </c>
      <c r="T112">
        <v>3020.3229999999999</v>
      </c>
    </row>
    <row r="113" spans="19:20">
      <c r="S113">
        <v>1820</v>
      </c>
      <c r="T113">
        <v>3020.3229999999999</v>
      </c>
    </row>
    <row r="114" spans="19:20">
      <c r="S114">
        <v>1840</v>
      </c>
      <c r="T114">
        <v>3020.3229999999999</v>
      </c>
    </row>
    <row r="115" spans="19:20">
      <c r="S115">
        <v>1860</v>
      </c>
      <c r="T115">
        <v>3020.3229999999999</v>
      </c>
    </row>
    <row r="116" spans="19:20">
      <c r="S116">
        <v>1880</v>
      </c>
      <c r="T116">
        <v>3020.3229999999999</v>
      </c>
    </row>
    <row r="117" spans="19:20">
      <c r="S117">
        <v>1900</v>
      </c>
      <c r="T117">
        <v>3020.3229999999999</v>
      </c>
    </row>
    <row r="118" spans="19:20">
      <c r="S118">
        <v>1920</v>
      </c>
      <c r="T118">
        <v>3020.3229999999999</v>
      </c>
    </row>
    <row r="119" spans="19:20">
      <c r="S119">
        <v>1940</v>
      </c>
      <c r="T119">
        <v>3020.3229999999999</v>
      </c>
    </row>
    <row r="120" spans="19:20">
      <c r="S120">
        <v>1947.117</v>
      </c>
      <c r="T120">
        <v>3020.3229999999999</v>
      </c>
    </row>
    <row r="121" spans="19:20">
      <c r="S121">
        <v>1960</v>
      </c>
      <c r="T121">
        <v>3020.3229999999999</v>
      </c>
    </row>
    <row r="122" spans="19:20">
      <c r="S122">
        <v>1980</v>
      </c>
      <c r="T122">
        <v>3039.8530000000001</v>
      </c>
    </row>
    <row r="123" spans="19:20">
      <c r="S123">
        <v>1982.117</v>
      </c>
      <c r="T123">
        <v>3045.5889999999999</v>
      </c>
    </row>
    <row r="124" spans="19:20">
      <c r="S124">
        <v>2000</v>
      </c>
      <c r="T124">
        <v>3319.3960000000002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</vt:i4>
      </vt:variant>
    </vt:vector>
  </HeadingPairs>
  <TitlesOfParts>
    <vt:vector size="14" baseType="lpstr">
      <vt:lpstr>K</vt:lpstr>
      <vt:lpstr>dq</vt:lpstr>
      <vt:lpstr>tf_result</vt:lpstr>
      <vt:lpstr>qt</vt:lpstr>
      <vt:lpstr>3dr</vt:lpstr>
      <vt:lpstr>lj</vt:lpstr>
      <vt:lpstr>tf</vt:lpstr>
      <vt:lpstr>tfdl</vt:lpstr>
      <vt:lpstr>ql</vt:lpstr>
      <vt:lpstr>Sheet1</vt:lpstr>
      <vt:lpstr>K!Print_Area</vt:lpstr>
      <vt:lpstr>qt!Print_Area</vt:lpstr>
      <vt:lpstr>K!Print_Titles</vt:lpstr>
      <vt:lpstr>qt!Print_Titles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2020-05-29T08:46:00Z</cp:lastPrinted>
  <dcterms:created xsi:type="dcterms:W3CDTF">2019-12-09T06:51:31Z</dcterms:created>
  <dcterms:modified xsi:type="dcterms:W3CDTF">2020-05-30T15:54:49Z</dcterms:modified>
</cp:coreProperties>
</file>