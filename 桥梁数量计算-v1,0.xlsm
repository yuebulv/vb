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计算表" sheetId="4" r:id="rId1"/>
    <sheet name="圆柱桥墩工程量" sheetId="5" r:id="rId2"/>
  </sheets>
  <functionGroups builtInGroupCount="17"/>
  <calcPr calcId="144525"/>
</workbook>
</file>

<file path=xl/calcChain.xml><?xml version="1.0" encoding="utf-8"?>
<calcChain xmlns="http://schemas.openxmlformats.org/spreadsheetml/2006/main">
  <c r="L210" i="5" l="1"/>
  <c r="J210" i="5"/>
  <c r="I210" i="5"/>
  <c r="P209" i="5"/>
  <c r="L209" i="5"/>
  <c r="J209" i="5"/>
  <c r="I209" i="5"/>
  <c r="B209" i="5"/>
  <c r="P208" i="5"/>
  <c r="L208" i="5"/>
  <c r="J208" i="5"/>
  <c r="D208" i="5"/>
  <c r="C208" i="5"/>
  <c r="B208" i="5"/>
  <c r="P207" i="5"/>
  <c r="M207" i="5"/>
  <c r="L207" i="5"/>
  <c r="J207" i="5"/>
  <c r="I207" i="5"/>
  <c r="D207" i="5"/>
  <c r="C207" i="5"/>
  <c r="B207" i="5"/>
  <c r="P206" i="5"/>
  <c r="L206" i="5"/>
  <c r="J206" i="5"/>
  <c r="H206" i="5"/>
  <c r="C206" i="5"/>
  <c r="B206" i="5"/>
  <c r="P205" i="5"/>
  <c r="L205" i="5"/>
  <c r="J205" i="5"/>
  <c r="H205" i="5"/>
  <c r="C205" i="5"/>
  <c r="B205" i="5"/>
  <c r="P204" i="5"/>
  <c r="C204" i="5"/>
  <c r="L200" i="5"/>
  <c r="J200" i="5"/>
  <c r="I200" i="5"/>
  <c r="P199" i="5"/>
  <c r="L199" i="5"/>
  <c r="J199" i="5"/>
  <c r="I199" i="5"/>
  <c r="B199" i="5"/>
  <c r="P198" i="5"/>
  <c r="L198" i="5"/>
  <c r="J198" i="5"/>
  <c r="D198" i="5"/>
  <c r="C198" i="5"/>
  <c r="B198" i="5"/>
  <c r="P197" i="5"/>
  <c r="M197" i="5"/>
  <c r="L197" i="5"/>
  <c r="J197" i="5"/>
  <c r="I197" i="5"/>
  <c r="D197" i="5"/>
  <c r="C197" i="5"/>
  <c r="B197" i="5"/>
  <c r="P196" i="5"/>
  <c r="L196" i="5"/>
  <c r="J196" i="5"/>
  <c r="H196" i="5"/>
  <c r="C196" i="5"/>
  <c r="B196" i="5"/>
  <c r="P195" i="5"/>
  <c r="L195" i="5"/>
  <c r="J195" i="5"/>
  <c r="H195" i="5"/>
  <c r="C195" i="5"/>
  <c r="B195" i="5"/>
  <c r="P194" i="5"/>
  <c r="C194" i="5"/>
  <c r="L190" i="5"/>
  <c r="J190" i="5"/>
  <c r="I190" i="5"/>
  <c r="L189" i="5"/>
  <c r="J189" i="5"/>
  <c r="I189" i="5"/>
  <c r="B189" i="5"/>
  <c r="P188" i="5"/>
  <c r="L188" i="5"/>
  <c r="J188" i="5"/>
  <c r="D188" i="5"/>
  <c r="C188" i="5"/>
  <c r="B188" i="5"/>
  <c r="P187" i="5"/>
  <c r="M187" i="5"/>
  <c r="L187" i="5"/>
  <c r="J187" i="5"/>
  <c r="I187" i="5"/>
  <c r="D187" i="5"/>
  <c r="C187" i="5"/>
  <c r="B187" i="5"/>
  <c r="P186" i="5"/>
  <c r="L186" i="5"/>
  <c r="J186" i="5"/>
  <c r="H186" i="5"/>
  <c r="C186" i="5"/>
  <c r="B186" i="5"/>
  <c r="P185" i="5"/>
  <c r="L185" i="5"/>
  <c r="J185" i="5"/>
  <c r="H185" i="5"/>
  <c r="C185" i="5"/>
  <c r="B185" i="5"/>
  <c r="P184" i="5"/>
  <c r="C184" i="5"/>
  <c r="L181" i="5"/>
  <c r="J181" i="5"/>
  <c r="I181" i="5"/>
  <c r="L180" i="5"/>
  <c r="J180" i="5"/>
  <c r="I180" i="5"/>
  <c r="B180" i="5"/>
  <c r="P179" i="5"/>
  <c r="L179" i="5"/>
  <c r="J179" i="5"/>
  <c r="D179" i="5"/>
  <c r="C179" i="5"/>
  <c r="B179" i="5"/>
  <c r="P178" i="5"/>
  <c r="M178" i="5"/>
  <c r="L178" i="5"/>
  <c r="J178" i="5"/>
  <c r="I178" i="5"/>
  <c r="D178" i="5"/>
  <c r="C178" i="5"/>
  <c r="B178" i="5"/>
  <c r="P177" i="5"/>
  <c r="L177" i="5"/>
  <c r="J177" i="5"/>
  <c r="H177" i="5"/>
  <c r="C177" i="5"/>
  <c r="B177" i="5"/>
  <c r="P176" i="5"/>
  <c r="L176" i="5"/>
  <c r="J176" i="5"/>
  <c r="H176" i="5"/>
  <c r="C176" i="5"/>
  <c r="B176" i="5"/>
  <c r="P175" i="5"/>
  <c r="C175" i="5"/>
  <c r="L170" i="5"/>
  <c r="J170" i="5"/>
  <c r="I170" i="5"/>
  <c r="L169" i="5"/>
  <c r="J169" i="5"/>
  <c r="I169" i="5"/>
  <c r="B169" i="5"/>
  <c r="P168" i="5"/>
  <c r="L168" i="5"/>
  <c r="J168" i="5"/>
  <c r="D168" i="5"/>
  <c r="C168" i="5"/>
  <c r="B168" i="5"/>
  <c r="P167" i="5"/>
  <c r="M167" i="5"/>
  <c r="L167" i="5"/>
  <c r="J167" i="5"/>
  <c r="I167" i="5"/>
  <c r="D167" i="5"/>
  <c r="C167" i="5"/>
  <c r="B167" i="5"/>
  <c r="P166" i="5"/>
  <c r="L166" i="5"/>
  <c r="J166" i="5"/>
  <c r="H166" i="5"/>
  <c r="C166" i="5"/>
  <c r="B166" i="5"/>
  <c r="P165" i="5"/>
  <c r="L165" i="5"/>
  <c r="J165" i="5"/>
  <c r="H165" i="5"/>
  <c r="C165" i="5"/>
  <c r="B165" i="5"/>
  <c r="P164" i="5"/>
  <c r="C164" i="5"/>
  <c r="L156" i="5"/>
  <c r="J156" i="5"/>
  <c r="I156" i="5"/>
  <c r="L155" i="5"/>
  <c r="J155" i="5"/>
  <c r="I155" i="5"/>
  <c r="B155" i="5"/>
  <c r="P154" i="5"/>
  <c r="L154" i="5"/>
  <c r="J154" i="5"/>
  <c r="H154" i="5"/>
  <c r="D154" i="5"/>
  <c r="C154" i="5"/>
  <c r="B154" i="5"/>
  <c r="P153" i="5"/>
  <c r="M153" i="5"/>
  <c r="L153" i="5"/>
  <c r="J153" i="5"/>
  <c r="I153" i="5"/>
  <c r="D153" i="5"/>
  <c r="C153" i="5"/>
  <c r="B153" i="5"/>
  <c r="P152" i="5"/>
  <c r="L152" i="5"/>
  <c r="J152" i="5"/>
  <c r="C152" i="5"/>
  <c r="B152" i="5"/>
  <c r="P151" i="5"/>
  <c r="L151" i="5"/>
  <c r="J151" i="5"/>
  <c r="H151" i="5"/>
  <c r="C151" i="5"/>
  <c r="B151" i="5"/>
  <c r="P150" i="5"/>
  <c r="L150" i="5"/>
  <c r="J150" i="5"/>
  <c r="I150" i="5"/>
  <c r="C150" i="5"/>
  <c r="B150" i="5"/>
  <c r="P149" i="5"/>
  <c r="M149" i="5"/>
  <c r="L149" i="5"/>
  <c r="J149" i="5"/>
  <c r="D149" i="5"/>
  <c r="B149" i="5"/>
  <c r="P148" i="5"/>
  <c r="L148" i="5"/>
  <c r="J148" i="5"/>
  <c r="H148" i="5"/>
  <c r="D148" i="5"/>
  <c r="B148" i="5"/>
  <c r="P147" i="5"/>
  <c r="L147" i="5"/>
  <c r="J147" i="5"/>
  <c r="H147" i="5"/>
  <c r="D147" i="5"/>
  <c r="P146" i="5"/>
  <c r="P141" i="5"/>
  <c r="L141" i="5"/>
  <c r="J141" i="5"/>
  <c r="I141" i="5"/>
  <c r="P140" i="5"/>
  <c r="L140" i="5"/>
  <c r="J140" i="5"/>
  <c r="I140" i="5"/>
  <c r="B140" i="5"/>
  <c r="P139" i="5"/>
  <c r="L139" i="5"/>
  <c r="J139" i="5"/>
  <c r="H139" i="5"/>
  <c r="D139" i="5"/>
  <c r="C139" i="5"/>
  <c r="B139" i="5"/>
  <c r="P138" i="5"/>
  <c r="M138" i="5"/>
  <c r="L138" i="5"/>
  <c r="J138" i="5"/>
  <c r="I138" i="5"/>
  <c r="D138" i="5"/>
  <c r="C138" i="5"/>
  <c r="B138" i="5"/>
  <c r="P137" i="5"/>
  <c r="L137" i="5"/>
  <c r="J137" i="5"/>
  <c r="C137" i="5"/>
  <c r="B137" i="5"/>
  <c r="P136" i="5"/>
  <c r="L136" i="5"/>
  <c r="J136" i="5"/>
  <c r="H136" i="5"/>
  <c r="C136" i="5"/>
  <c r="B136" i="5"/>
  <c r="P135" i="5"/>
  <c r="L135" i="5"/>
  <c r="J135" i="5"/>
  <c r="I135" i="5"/>
  <c r="C135" i="5"/>
  <c r="B135" i="5"/>
  <c r="P134" i="5"/>
  <c r="M134" i="5"/>
  <c r="L134" i="5"/>
  <c r="J134" i="5"/>
  <c r="D134" i="5"/>
  <c r="B134" i="5"/>
  <c r="P133" i="5"/>
  <c r="L133" i="5"/>
  <c r="J133" i="5"/>
  <c r="H133" i="5"/>
  <c r="D133" i="5"/>
  <c r="B133" i="5"/>
  <c r="P132" i="5"/>
  <c r="L132" i="5"/>
  <c r="J132" i="5"/>
  <c r="H132" i="5"/>
  <c r="D132" i="5"/>
  <c r="P131" i="5"/>
  <c r="P125" i="5"/>
  <c r="L125" i="5"/>
  <c r="J125" i="5"/>
  <c r="I125" i="5"/>
  <c r="P124" i="5"/>
  <c r="L124" i="5"/>
  <c r="J124" i="5"/>
  <c r="I124" i="5"/>
  <c r="B124" i="5"/>
  <c r="P123" i="5"/>
  <c r="L123" i="5"/>
  <c r="J123" i="5"/>
  <c r="H123" i="5"/>
  <c r="D123" i="5"/>
  <c r="C123" i="5"/>
  <c r="B123" i="5"/>
  <c r="P122" i="5"/>
  <c r="M122" i="5"/>
  <c r="L122" i="5"/>
  <c r="J122" i="5"/>
  <c r="I122" i="5"/>
  <c r="D122" i="5"/>
  <c r="C122" i="5"/>
  <c r="B122" i="5"/>
  <c r="P121" i="5"/>
  <c r="L121" i="5"/>
  <c r="J121" i="5"/>
  <c r="C121" i="5"/>
  <c r="B121" i="5"/>
  <c r="P120" i="5"/>
  <c r="L120" i="5"/>
  <c r="J120" i="5"/>
  <c r="H120" i="5"/>
  <c r="C120" i="5"/>
  <c r="B120" i="5"/>
  <c r="P119" i="5"/>
  <c r="L119" i="5"/>
  <c r="J119" i="5"/>
  <c r="I119" i="5"/>
  <c r="C119" i="5"/>
  <c r="B119" i="5"/>
  <c r="P118" i="5"/>
  <c r="M118" i="5"/>
  <c r="L118" i="5"/>
  <c r="J118" i="5"/>
  <c r="D118" i="5"/>
  <c r="B118" i="5"/>
  <c r="P117" i="5"/>
  <c r="L117" i="5"/>
  <c r="J117" i="5"/>
  <c r="H117" i="5"/>
  <c r="D117" i="5"/>
  <c r="B117" i="5"/>
  <c r="P116" i="5"/>
  <c r="L116" i="5"/>
  <c r="J116" i="5"/>
  <c r="H116" i="5"/>
  <c r="D116" i="5"/>
  <c r="P115" i="5"/>
  <c r="L110" i="5"/>
  <c r="J110" i="5"/>
  <c r="I110" i="5"/>
  <c r="P109" i="5"/>
  <c r="B109" i="5"/>
  <c r="D108" i="5"/>
  <c r="I109" i="5" s="1"/>
  <c r="J109" i="5" s="1"/>
  <c r="L109" i="5" s="1"/>
  <c r="P110" i="5" s="1"/>
  <c r="B108" i="5"/>
  <c r="P107" i="5"/>
  <c r="M107" i="5"/>
  <c r="P105" i="5" s="1"/>
  <c r="L107" i="5"/>
  <c r="J107" i="5"/>
  <c r="I107" i="5"/>
  <c r="D107" i="5"/>
  <c r="C107" i="5"/>
  <c r="C108" i="5" s="1"/>
  <c r="H108" i="5" s="1"/>
  <c r="J108" i="5" s="1"/>
  <c r="L108" i="5" s="1"/>
  <c r="P108" i="5" s="1"/>
  <c r="B107" i="5"/>
  <c r="L106" i="5"/>
  <c r="J106" i="5"/>
  <c r="C106" i="5"/>
  <c r="B106" i="5"/>
  <c r="H105" i="5"/>
  <c r="J105" i="5" s="1"/>
  <c r="L105" i="5" s="1"/>
  <c r="P106" i="5" s="1"/>
  <c r="C105" i="5"/>
  <c r="B105" i="5"/>
  <c r="P104" i="5"/>
  <c r="C104" i="5"/>
  <c r="B104" i="5"/>
  <c r="M103" i="5"/>
  <c r="L103" i="5"/>
  <c r="J103" i="5"/>
  <c r="D103" i="5"/>
  <c r="I104" i="5" s="1"/>
  <c r="J104" i="5" s="1"/>
  <c r="L104" i="5" s="1"/>
  <c r="P102" i="5" s="1"/>
  <c r="B103" i="5"/>
  <c r="D102" i="5"/>
  <c r="B102" i="5"/>
  <c r="H101" i="5"/>
  <c r="J101" i="5" s="1"/>
  <c r="L101" i="5" s="1"/>
  <c r="P101" i="5" s="1"/>
  <c r="D101" i="5"/>
  <c r="H102" i="5" s="1"/>
  <c r="J102" i="5" s="1"/>
  <c r="L102" i="5" s="1"/>
  <c r="P103" i="5" s="1"/>
  <c r="P100" i="5"/>
  <c r="L94" i="5"/>
  <c r="J94" i="5"/>
  <c r="I94" i="5"/>
  <c r="L93" i="5"/>
  <c r="J93" i="5"/>
  <c r="I93" i="5"/>
  <c r="B93" i="5"/>
  <c r="P92" i="5"/>
  <c r="L92" i="5"/>
  <c r="J92" i="5"/>
  <c r="H92" i="5"/>
  <c r="D92" i="5"/>
  <c r="C92" i="5"/>
  <c r="B92" i="5"/>
  <c r="P91" i="5"/>
  <c r="M91" i="5"/>
  <c r="L91" i="5"/>
  <c r="J91" i="5"/>
  <c r="I91" i="5"/>
  <c r="D91" i="5"/>
  <c r="C91" i="5"/>
  <c r="B91" i="5"/>
  <c r="P90" i="5"/>
  <c r="L90" i="5"/>
  <c r="J90" i="5"/>
  <c r="C90" i="5"/>
  <c r="B90" i="5"/>
  <c r="P89" i="5"/>
  <c r="L89" i="5"/>
  <c r="J89" i="5"/>
  <c r="H89" i="5"/>
  <c r="C89" i="5"/>
  <c r="B89" i="5"/>
  <c r="P88" i="5"/>
  <c r="L88" i="5"/>
  <c r="J88" i="5"/>
  <c r="I88" i="5"/>
  <c r="H88" i="5"/>
  <c r="C88" i="5"/>
  <c r="B88" i="5"/>
  <c r="P87" i="5"/>
  <c r="M87" i="5"/>
  <c r="L87" i="5"/>
  <c r="J87" i="5"/>
  <c r="D87" i="5"/>
  <c r="B87" i="5"/>
  <c r="P86" i="5"/>
  <c r="L86" i="5"/>
  <c r="J86" i="5"/>
  <c r="H86" i="5"/>
  <c r="D86" i="5"/>
  <c r="B86" i="5"/>
  <c r="P85" i="5"/>
  <c r="L85" i="5"/>
  <c r="J85" i="5"/>
  <c r="H85" i="5"/>
  <c r="D85" i="5"/>
  <c r="P84" i="5"/>
  <c r="P78" i="5"/>
  <c r="L78" i="5"/>
  <c r="J78" i="5"/>
  <c r="I78" i="5"/>
  <c r="P77" i="5"/>
  <c r="L77" i="5"/>
  <c r="J77" i="5"/>
  <c r="I77" i="5"/>
  <c r="B77" i="5"/>
  <c r="P76" i="5"/>
  <c r="L76" i="5"/>
  <c r="J76" i="5"/>
  <c r="H76" i="5"/>
  <c r="D76" i="5"/>
  <c r="C76" i="5"/>
  <c r="B76" i="5"/>
  <c r="P75" i="5"/>
  <c r="M75" i="5"/>
  <c r="L75" i="5"/>
  <c r="J75" i="5"/>
  <c r="I75" i="5"/>
  <c r="D75" i="5"/>
  <c r="C75" i="5"/>
  <c r="B75" i="5"/>
  <c r="P74" i="5"/>
  <c r="L74" i="5"/>
  <c r="J74" i="5"/>
  <c r="C74" i="5"/>
  <c r="B74" i="5"/>
  <c r="P73" i="5"/>
  <c r="L73" i="5"/>
  <c r="J73" i="5"/>
  <c r="H73" i="5"/>
  <c r="C73" i="5"/>
  <c r="B73" i="5"/>
  <c r="P72" i="5"/>
  <c r="L72" i="5"/>
  <c r="J72" i="5"/>
  <c r="I72" i="5"/>
  <c r="C72" i="5"/>
  <c r="B72" i="5"/>
  <c r="P71" i="5"/>
  <c r="M71" i="5"/>
  <c r="L71" i="5"/>
  <c r="J71" i="5"/>
  <c r="D71" i="5"/>
  <c r="B71" i="5"/>
  <c r="P70" i="5"/>
  <c r="L70" i="5"/>
  <c r="J70" i="5"/>
  <c r="H70" i="5"/>
  <c r="D70" i="5"/>
  <c r="B70" i="5"/>
  <c r="P69" i="5"/>
  <c r="L69" i="5"/>
  <c r="J69" i="5"/>
  <c r="H69" i="5"/>
  <c r="D69" i="5"/>
  <c r="P68" i="5"/>
  <c r="P61" i="5"/>
  <c r="L61" i="5"/>
  <c r="J61" i="5"/>
  <c r="I61" i="5"/>
  <c r="P60" i="5"/>
  <c r="L60" i="5"/>
  <c r="J60" i="5"/>
  <c r="I60" i="5"/>
  <c r="B60" i="5"/>
  <c r="P59" i="5"/>
  <c r="L59" i="5"/>
  <c r="J59" i="5"/>
  <c r="H59" i="5"/>
  <c r="D59" i="5"/>
  <c r="C59" i="5"/>
  <c r="B59" i="5"/>
  <c r="P58" i="5"/>
  <c r="M58" i="5"/>
  <c r="L58" i="5"/>
  <c r="J58" i="5"/>
  <c r="I58" i="5"/>
  <c r="D58" i="5"/>
  <c r="C58" i="5"/>
  <c r="B58" i="5"/>
  <c r="P57" i="5"/>
  <c r="L57" i="5"/>
  <c r="J57" i="5"/>
  <c r="C57" i="5"/>
  <c r="B57" i="5"/>
  <c r="P56" i="5"/>
  <c r="L56" i="5"/>
  <c r="J56" i="5"/>
  <c r="H56" i="5"/>
  <c r="C56" i="5"/>
  <c r="B56" i="5"/>
  <c r="P55" i="5"/>
  <c r="L55" i="5"/>
  <c r="J55" i="5"/>
  <c r="I55" i="5"/>
  <c r="C55" i="5"/>
  <c r="B55" i="5"/>
  <c r="P54" i="5"/>
  <c r="M54" i="5"/>
  <c r="L54" i="5"/>
  <c r="J54" i="5"/>
  <c r="D54" i="5"/>
  <c r="B54" i="5"/>
  <c r="P53" i="5"/>
  <c r="L53" i="5"/>
  <c r="J53" i="5"/>
  <c r="H53" i="5"/>
  <c r="D53" i="5"/>
  <c r="B53" i="5"/>
  <c r="P52" i="5"/>
  <c r="L52" i="5"/>
  <c r="J52" i="5"/>
  <c r="H52" i="5"/>
  <c r="D52" i="5"/>
  <c r="P51" i="5"/>
  <c r="P45" i="5"/>
  <c r="L45" i="5"/>
  <c r="J45" i="5"/>
  <c r="I45" i="5"/>
  <c r="P44" i="5"/>
  <c r="L44" i="5"/>
  <c r="J44" i="5"/>
  <c r="I44" i="5"/>
  <c r="B44" i="5"/>
  <c r="P43" i="5"/>
  <c r="L43" i="5"/>
  <c r="J43" i="5"/>
  <c r="H43" i="5"/>
  <c r="D43" i="5"/>
  <c r="C43" i="5"/>
  <c r="B43" i="5"/>
  <c r="P42" i="5"/>
  <c r="M42" i="5"/>
  <c r="L42" i="5"/>
  <c r="J42" i="5"/>
  <c r="I42" i="5"/>
  <c r="D42" i="5"/>
  <c r="C42" i="5"/>
  <c r="B42" i="5"/>
  <c r="P41" i="5"/>
  <c r="L41" i="5"/>
  <c r="J41" i="5"/>
  <c r="C41" i="5"/>
  <c r="B41" i="5"/>
  <c r="P40" i="5"/>
  <c r="L40" i="5"/>
  <c r="J40" i="5"/>
  <c r="H40" i="5"/>
  <c r="C40" i="5"/>
  <c r="B40" i="5"/>
  <c r="P39" i="5"/>
  <c r="L39" i="5"/>
  <c r="J39" i="5"/>
  <c r="I39" i="5"/>
  <c r="C39" i="5"/>
  <c r="B39" i="5"/>
  <c r="P38" i="5"/>
  <c r="M38" i="5"/>
  <c r="L38" i="5"/>
  <c r="J38" i="5"/>
  <c r="D38" i="5"/>
  <c r="B38" i="5"/>
  <c r="P37" i="5"/>
  <c r="L37" i="5"/>
  <c r="J37" i="5"/>
  <c r="H37" i="5"/>
  <c r="D37" i="5"/>
  <c r="B37" i="5"/>
  <c r="P36" i="5"/>
  <c r="L36" i="5"/>
  <c r="J36" i="5"/>
  <c r="H36" i="5"/>
  <c r="D36" i="5"/>
  <c r="P35" i="5"/>
  <c r="B27" i="5"/>
  <c r="D26" i="5"/>
  <c r="I27" i="5" s="1"/>
  <c r="J27" i="5" s="1"/>
  <c r="L27" i="5" s="1"/>
  <c r="P26" i="5" s="1"/>
  <c r="B26" i="5"/>
  <c r="P25" i="5"/>
  <c r="M25" i="5"/>
  <c r="I25" i="5"/>
  <c r="I28" i="5" s="1"/>
  <c r="J28" i="5" s="1"/>
  <c r="L28" i="5" s="1"/>
  <c r="D25" i="5"/>
  <c r="C25" i="5"/>
  <c r="C26" i="5" s="1"/>
  <c r="H26" i="5" s="1"/>
  <c r="J26" i="5" s="1"/>
  <c r="L26" i="5" s="1"/>
  <c r="P24" i="5" s="1"/>
  <c r="B25" i="5"/>
  <c r="L24" i="5"/>
  <c r="J24" i="5"/>
  <c r="C24" i="5"/>
  <c r="B24" i="5"/>
  <c r="H23" i="5"/>
  <c r="J23" i="5" s="1"/>
  <c r="L23" i="5" s="1"/>
  <c r="C23" i="5"/>
  <c r="B23" i="5"/>
  <c r="P22" i="5"/>
  <c r="H22" i="5"/>
  <c r="C22" i="5"/>
  <c r="B22" i="5"/>
  <c r="P21" i="5"/>
  <c r="L21" i="5"/>
  <c r="J21" i="5"/>
  <c r="D21" i="5"/>
  <c r="I22" i="5" s="1"/>
  <c r="J22" i="5" s="1"/>
  <c r="L22" i="5" s="1"/>
  <c r="B21" i="5"/>
  <c r="D20" i="5"/>
  <c r="D19" i="5" s="1"/>
  <c r="H20" i="5" s="1"/>
  <c r="J20" i="5" s="1"/>
  <c r="L20" i="5" s="1"/>
  <c r="P20" i="5" s="1"/>
  <c r="B20" i="5"/>
  <c r="H19" i="5"/>
  <c r="J19" i="5" s="1"/>
  <c r="L19" i="5" s="1"/>
  <c r="L14" i="5"/>
  <c r="J14" i="5"/>
  <c r="I14" i="5"/>
  <c r="L13" i="5"/>
  <c r="J13" i="5"/>
  <c r="I13" i="5"/>
  <c r="B13" i="5"/>
  <c r="P12" i="5"/>
  <c r="L12" i="5"/>
  <c r="J12" i="5"/>
  <c r="H12" i="5"/>
  <c r="D12" i="5"/>
  <c r="C12" i="5"/>
  <c r="B12" i="5"/>
  <c r="P11" i="5"/>
  <c r="M11" i="5"/>
  <c r="L11" i="5"/>
  <c r="J11" i="5"/>
  <c r="I11" i="5"/>
  <c r="D11" i="5"/>
  <c r="C11" i="5"/>
  <c r="B11" i="5"/>
  <c r="P10" i="5"/>
  <c r="L10" i="5"/>
  <c r="J10" i="5"/>
  <c r="C10" i="5"/>
  <c r="B10" i="5"/>
  <c r="P9" i="5"/>
  <c r="L9" i="5"/>
  <c r="J9" i="5"/>
  <c r="H9" i="5"/>
  <c r="C9" i="5"/>
  <c r="B9" i="5"/>
  <c r="P8" i="5"/>
  <c r="L8" i="5"/>
  <c r="J8" i="5"/>
  <c r="I8" i="5"/>
  <c r="H8" i="5"/>
  <c r="C8" i="5"/>
  <c r="B8" i="5"/>
  <c r="P7" i="5"/>
  <c r="M7" i="5"/>
  <c r="L7" i="5"/>
  <c r="J7" i="5"/>
  <c r="D7" i="5"/>
  <c r="B7" i="5"/>
  <c r="P6" i="5"/>
  <c r="L6" i="5"/>
  <c r="J6" i="5"/>
  <c r="H6" i="5"/>
  <c r="D6" i="5"/>
  <c r="B6" i="5"/>
  <c r="P5" i="5"/>
  <c r="L5" i="5"/>
  <c r="J5" i="5"/>
  <c r="H5" i="5"/>
  <c r="D5" i="5"/>
  <c r="P4" i="5"/>
  <c r="M21" i="5"/>
  <c r="P18" i="5"/>
  <c r="E3" i="4"/>
  <c r="H3" i="4"/>
  <c r="G3" i="4"/>
  <c r="F3" i="4"/>
  <c r="E3" i="4"/>
  <c r="P19" i="5" l="1"/>
  <c r="J25" i="5"/>
  <c r="L25" i="5" s="1"/>
  <c r="P23" i="5" s="1"/>
</calcChain>
</file>

<file path=xl/sharedStrings.xml><?xml version="1.0" encoding="utf-8"?>
<sst xmlns="http://schemas.openxmlformats.org/spreadsheetml/2006/main" count="491" uniqueCount="255">
  <si>
    <t>跨径L(m)</t>
    <phoneticPr fontId="3" type="noConversion"/>
  </si>
  <si>
    <t>H</t>
    <phoneticPr fontId="3" type="noConversion"/>
  </si>
  <si>
    <t>桥墩高度HD（cm）</t>
    <phoneticPr fontId="3" type="noConversion"/>
  </si>
  <si>
    <t>桩基高度HJ（cm）</t>
    <phoneticPr fontId="3" type="noConversion"/>
  </si>
  <si>
    <t>钢筋（Kg）</t>
    <phoneticPr fontId="3" type="noConversion"/>
  </si>
  <si>
    <t>混凝土（m3）</t>
    <phoneticPr fontId="3" type="noConversion"/>
  </si>
  <si>
    <t>单价</t>
    <phoneticPr fontId="3" type="noConversion"/>
  </si>
  <si>
    <t>造价</t>
    <phoneticPr fontId="3" type="noConversion"/>
  </si>
  <si>
    <r>
      <t>L=30m,H≤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5m,1.5+1.8,矮柱全高加密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</si>
  <si>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</si>
  <si>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</si>
  <si>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</si>
  <si>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</si>
  <si>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</si>
  <si>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</si>
  <si>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</si>
  <si>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</si>
  <si>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</si>
  <si>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</si>
  <si>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</si>
  <si>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</si>
  <si>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HD</t>
    <phoneticPr fontId="3" type="noConversion"/>
  </si>
  <si>
    <t>10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</si>
  <si>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</si>
  <si>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t>12</t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</si>
  <si>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</si>
  <si>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</si>
  <si>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t>12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</si>
  <si>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</si>
  <si>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t>10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</si>
  <si>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</si>
  <si>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12</t>
    <phoneticPr fontId="3" type="noConversion"/>
  </si>
  <si>
    <t>10</t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</si>
  <si>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</si>
  <si>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16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</si>
  <si>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</si>
  <si>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rPr>
        <sz val="11"/>
        <color theme="1"/>
        <rFont val="宋体"/>
        <family val="2"/>
        <scheme val="minor"/>
      </rPr>
      <t>L=</t>
    </r>
    <r>
      <rPr>
        <sz val="12"/>
        <rFont val="宋体"/>
        <family val="3"/>
        <charset val="134"/>
      </rPr>
      <t>30m,H≤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5m,1.5+1.8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</si>
  <si>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</si>
  <si>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</si>
  <si>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</si>
  <si>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</si>
  <si>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</si>
  <si>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</si>
  <si>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</si>
  <si>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</si>
  <si>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</si>
  <si>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</si>
  <si>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</si>
  <si>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HD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</si>
  <si>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</si>
  <si>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</si>
  <si>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</si>
  <si>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</si>
  <si>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rPr>
        <sz val="11"/>
        <color theme="1"/>
        <rFont val="宋体"/>
        <family val="2"/>
        <scheme val="minor"/>
      </rPr>
      <t>L=</t>
    </r>
    <r>
      <rPr>
        <sz val="12"/>
        <rFont val="宋体"/>
        <family val="3"/>
        <charset val="134"/>
      </rPr>
      <t>30m,H=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5~35m,1.8+2</t>
    </r>
    <phoneticPr fontId="3" type="noConversion"/>
  </si>
  <si>
    <t>28</t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</si>
  <si>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</si>
  <si>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25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</si>
  <si>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</si>
  <si>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16</t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</si>
  <si>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</si>
  <si>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L=30m,H=35~40m,2+2.2</t>
    <phoneticPr fontId="3" type="noConversion"/>
  </si>
  <si>
    <r>
      <t>来自40mT，H</t>
    </r>
    <r>
      <rPr>
        <sz val="12"/>
        <rFont val="宋体"/>
        <family val="3"/>
        <charset val="134"/>
      </rPr>
      <t>≤</t>
    </r>
    <r>
      <rPr>
        <sz val="11"/>
        <color theme="1"/>
        <rFont val="宋体"/>
        <family val="2"/>
        <scheme val="minor"/>
      </rPr>
      <t>3</t>
    </r>
    <r>
      <rPr>
        <sz val="12"/>
        <rFont val="宋体"/>
        <family val="3"/>
        <charset val="134"/>
      </rPr>
      <t>5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</si>
  <si>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</si>
  <si>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</si>
  <si>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</si>
  <si>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</si>
  <si>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</si>
  <si>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</si>
  <si>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</si>
  <si>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</si>
  <si>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</si>
  <si>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</si>
  <si>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</si>
  <si>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28</t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</si>
  <si>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</si>
  <si>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25</t>
    <phoneticPr fontId="3" type="noConversion"/>
  </si>
  <si>
    <t>28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</si>
  <si>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</si>
  <si>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</si>
  <si>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</si>
  <si>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16</t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</si>
  <si>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</si>
  <si>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L=30m,H=40~45m,2.2+2.5</t>
    <phoneticPr fontId="3" type="noConversion"/>
  </si>
  <si>
    <t>黄桷堡大桥</t>
    <phoneticPr fontId="3" type="noConversion"/>
  </si>
  <si>
    <t>32</t>
    <phoneticPr fontId="3" type="noConversion"/>
  </si>
  <si>
    <r>
      <rPr>
        <sz val="11"/>
        <color theme="1"/>
        <rFont val="宋体"/>
        <family val="2"/>
        <scheme val="minor"/>
      </rPr>
      <t>L=</t>
    </r>
    <r>
      <rPr>
        <sz val="12"/>
        <rFont val="宋体"/>
        <family val="3"/>
        <charset val="134"/>
      </rPr>
      <t>40m,H≤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0m,1.5+1.8</t>
    </r>
    <phoneticPr fontId="3" type="noConversion"/>
  </si>
  <si>
    <t>L=40m,H=30~40m,2+2.2</t>
    <phoneticPr fontId="3" type="noConversion"/>
  </si>
  <si>
    <r>
      <t>H≤3</t>
    </r>
    <r>
      <rPr>
        <sz val="11"/>
        <color theme="1"/>
        <rFont val="宋体"/>
        <family val="2"/>
        <scheme val="minor"/>
      </rPr>
      <t>5</t>
    </r>
    <r>
      <rPr>
        <sz val="12"/>
        <rFont val="宋体"/>
        <family val="3"/>
        <charset val="134"/>
      </rPr>
      <t>m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</si>
  <si>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</si>
  <si>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12</t>
    <phoneticPr fontId="3" type="noConversion"/>
  </si>
  <si>
    <t>28</t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</si>
  <si>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</si>
  <si>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</si>
  <si>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t>12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</si>
  <si>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</si>
  <si>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</si>
  <si>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16</t>
    <phoneticPr fontId="3" type="noConversion"/>
  </si>
  <si>
    <t>12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</si>
  <si>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</si>
  <si>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</si>
  <si>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L=40m,H=30~40m,2+2.2</t>
    <phoneticPr fontId="3" type="noConversion"/>
  </si>
  <si>
    <r>
      <t>H&gt;3</t>
    </r>
    <r>
      <rPr>
        <sz val="11"/>
        <color theme="1"/>
        <rFont val="宋体"/>
        <family val="2"/>
        <scheme val="minor"/>
      </rPr>
      <t>5</t>
    </r>
    <r>
      <rPr>
        <sz val="12"/>
        <rFont val="宋体"/>
        <family val="3"/>
        <charset val="134"/>
      </rPr>
      <t>m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</si>
  <si>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</si>
  <si>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</si>
  <si>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</si>
  <si>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</si>
  <si>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</si>
  <si>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</si>
  <si>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</si>
  <si>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</si>
  <si>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</si>
  <si>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</si>
  <si>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</si>
  <si>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28</t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</si>
  <si>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</si>
  <si>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t>HD</t>
    <phoneticPr fontId="3" type="noConversion"/>
  </si>
  <si>
    <t>10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</si>
  <si>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</si>
  <si>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t>25</t>
    <phoneticPr fontId="3" type="noConversion"/>
  </si>
  <si>
    <t>12</t>
    <phoneticPr fontId="3" type="noConversion"/>
  </si>
  <si>
    <t>10</t>
    <phoneticPr fontId="3" type="noConversion"/>
  </si>
  <si>
    <t>28</t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</si>
  <si>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</si>
  <si>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</si>
  <si>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</si>
  <si>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</si>
  <si>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</si>
  <si>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16</t>
    <phoneticPr fontId="3" type="noConversion"/>
  </si>
  <si>
    <t>L=40m,H=40~45m,2.2+2.5</t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</si>
  <si>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</si>
  <si>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</si>
  <si>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</si>
  <si>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</si>
  <si>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</si>
  <si>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</si>
  <si>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</si>
  <si>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</si>
  <si>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</si>
  <si>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</si>
  <si>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</si>
  <si>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32</t>
    <phoneticPr fontId="3" type="noConversion"/>
  </si>
  <si>
    <t>HD</t>
    <phoneticPr fontId="3" type="noConversion"/>
  </si>
  <si>
    <t>10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</si>
  <si>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</si>
  <si>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t>25</t>
    <phoneticPr fontId="3" type="noConversion"/>
  </si>
  <si>
    <t>12</t>
    <phoneticPr fontId="3" type="noConversion"/>
  </si>
  <si>
    <t>10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</si>
  <si>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</si>
  <si>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32</t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</si>
  <si>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</si>
  <si>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</si>
  <si>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</si>
  <si>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t>16</t>
    <phoneticPr fontId="3" type="noConversion"/>
  </si>
  <si>
    <t>12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</si>
  <si>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</si>
  <si>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</si>
  <si>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r>
      <rPr>
        <sz val="11"/>
        <color theme="1"/>
        <rFont val="宋体"/>
        <family val="2"/>
        <scheme val="minor"/>
      </rPr>
      <t>L=</t>
    </r>
    <r>
      <rPr>
        <sz val="12"/>
        <rFont val="宋体"/>
        <family val="3"/>
        <charset val="134"/>
      </rPr>
      <t>40m,H=</t>
    </r>
    <r>
      <rPr>
        <sz val="11"/>
        <color theme="1"/>
        <rFont val="宋体"/>
        <family val="2"/>
        <scheme val="minor"/>
      </rPr>
      <t>2</t>
    </r>
    <r>
      <rPr>
        <sz val="12"/>
        <rFont val="宋体"/>
        <family val="3"/>
        <charset val="134"/>
      </rPr>
      <t>0~30m,1.8+2</t>
    </r>
    <phoneticPr fontId="3" type="noConversion"/>
  </si>
  <si>
    <t>汇总</t>
    <phoneticPr fontId="3" type="noConversion"/>
  </si>
  <si>
    <t>桥墩(cm)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</si>
  <si>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</si>
  <si>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</si>
  <si>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</si>
  <si>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</si>
  <si>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</si>
  <si>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</si>
  <si>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</si>
  <si>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</si>
  <si>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35</t>
    </r>
    <phoneticPr fontId="3" type="noConversion"/>
  </si>
  <si>
    <t>25</t>
    <phoneticPr fontId="3" type="noConversion"/>
  </si>
  <si>
    <t>HD</t>
    <phoneticPr fontId="3" type="noConversion"/>
  </si>
  <si>
    <t>10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</si>
  <si>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C35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</si>
  <si>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</si>
  <si>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C30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</si>
  <si>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</si>
  <si>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t>12</t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</si>
  <si>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</si>
  <si>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t>10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</si>
  <si>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</si>
  <si>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12</t>
    <phoneticPr fontId="3" type="noConversion"/>
  </si>
  <si>
    <t>10</t>
    <phoneticPr fontId="3" type="noConversion"/>
  </si>
  <si>
    <r>
      <t>1</t>
    </r>
    <r>
      <rPr>
        <sz val="12"/>
        <rFont val="宋体"/>
        <family val="3"/>
        <charset val="134"/>
      </rPr>
      <t>6</t>
    </r>
    <phoneticPr fontId="3" type="noConversion"/>
  </si>
  <si>
    <t>16</t>
    <phoneticPr fontId="3" type="noConversion"/>
  </si>
  <si>
    <t>重力式桥台承台桩基础，D=1.5m</t>
    <phoneticPr fontId="3" type="noConversion"/>
  </si>
  <si>
    <t>承台厚度2.5m，承台HRB400钢筋含量105kg/m³。</t>
    <phoneticPr fontId="3" type="noConversion"/>
  </si>
  <si>
    <t>桥台(cm)</t>
    <phoneticPr fontId="3" type="noConversion"/>
  </si>
  <si>
    <r>
      <t>C</t>
    </r>
    <r>
      <rPr>
        <sz val="12"/>
        <rFont val="宋体"/>
        <family val="3"/>
        <charset val="134"/>
      </rPr>
      <t>30</t>
    </r>
    <phoneticPr fontId="3" type="noConversion"/>
  </si>
  <si>
    <t>25</t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</si>
  <si>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</si>
  <si>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</si>
  <si>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</si>
  <si>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</si>
  <si>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</si>
  <si>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t>16</t>
    <phoneticPr fontId="3" type="noConversion"/>
  </si>
  <si>
    <t>汇总</t>
    <phoneticPr fontId="3" type="noConversion"/>
  </si>
  <si>
    <t>桥台(cm)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</si>
  <si>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</si>
  <si>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</si>
  <si>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</si>
  <si>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</si>
  <si>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</si>
  <si>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</si>
  <si>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</si>
  <si>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</si>
  <si>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30</t>
    </r>
    <phoneticPr fontId="3" type="noConversion"/>
  </si>
  <si>
    <t>25</t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</si>
  <si>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</si>
  <si>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</si>
  <si>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</si>
  <si>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</si>
  <si>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L=40m桩柱式桥台桩基础，D=2m</t>
    <phoneticPr fontId="3" type="noConversion"/>
  </si>
  <si>
    <t>汇总</t>
    <phoneticPr fontId="3" type="noConversion"/>
  </si>
  <si>
    <t>桥台(cm)</t>
    <phoneticPr fontId="3" type="noConversion"/>
  </si>
  <si>
    <t>编号</t>
    <phoneticPr fontId="3" type="noConversion"/>
  </si>
  <si>
    <t>直径</t>
    <phoneticPr fontId="3" type="noConversion"/>
  </si>
  <si>
    <t>长度(cm)</t>
    <phoneticPr fontId="3" type="noConversion"/>
  </si>
  <si>
    <t>根数</t>
    <phoneticPr fontId="3" type="noConversion"/>
  </si>
  <si>
    <t>共长 (m)</t>
    <phoneticPr fontId="3" type="noConversion"/>
  </si>
  <si>
    <t>单位重（kg/m）</t>
    <phoneticPr fontId="3" type="noConversion"/>
  </si>
  <si>
    <t>共重（kg）</t>
    <phoneticPr fontId="3" type="noConversion"/>
  </si>
  <si>
    <t>砼（m³）</t>
    <phoneticPr fontId="3" type="noConversion"/>
  </si>
  <si>
    <r>
      <t>C</t>
    </r>
    <r>
      <rPr>
        <sz val="12"/>
        <rFont val="宋体"/>
        <family val="3"/>
        <charset val="134"/>
      </rPr>
      <t>30</t>
    </r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</si>
  <si>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</si>
  <si>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</si>
  <si>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</si>
  <si>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</si>
  <si>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</si>
  <si>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4根共重（kg）</t>
    <phoneticPr fontId="3" type="noConversion"/>
  </si>
  <si>
    <r>
      <t>2</t>
    </r>
    <r>
      <rPr>
        <sz val="11"/>
        <color theme="1"/>
        <rFont val="宋体"/>
        <family val="2"/>
        <scheme val="minor"/>
      </rPr>
      <t>8</t>
    </r>
    <phoneticPr fontId="3" type="noConversion"/>
  </si>
  <si>
    <r>
      <t>2</t>
    </r>
    <r>
      <rPr>
        <sz val="12"/>
        <rFont val="宋体"/>
        <family val="3"/>
        <charset val="134"/>
      </rPr>
      <t>8</t>
    </r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</si>
  <si>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</si>
  <si>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</si>
  <si>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</si>
  <si>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t>25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</si>
  <si>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</si>
  <si>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</si>
  <si>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2</t>
    </r>
    <phoneticPr fontId="3" type="noConversion"/>
  </si>
  <si>
    <t>16</t>
    <phoneticPr fontId="3" type="noConversion"/>
  </si>
  <si>
    <t>L=40mT高墩桩基础4根D=2m  H=65-85</t>
    <phoneticPr fontId="3" type="noConversion"/>
  </si>
  <si>
    <t>4根共重（kg）</t>
    <phoneticPr fontId="3" type="noConversion"/>
  </si>
  <si>
    <r>
      <t>C</t>
    </r>
    <r>
      <rPr>
        <sz val="12"/>
        <rFont val="宋体"/>
        <family val="3"/>
        <charset val="134"/>
      </rPr>
      <t>30</t>
    </r>
    <phoneticPr fontId="3" type="noConversion"/>
  </si>
  <si>
    <r>
      <t>2</t>
    </r>
    <r>
      <rPr>
        <sz val="11"/>
        <color theme="1"/>
        <rFont val="宋体"/>
        <family val="2"/>
        <scheme val="minor"/>
      </rPr>
      <t>8</t>
    </r>
    <phoneticPr fontId="3" type="noConversion"/>
  </si>
  <si>
    <r>
      <t>H</t>
    </r>
    <r>
      <rPr>
        <sz val="12"/>
        <rFont val="宋体"/>
        <family val="3"/>
        <charset val="134"/>
      </rPr>
      <t>J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</si>
  <si>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</si>
  <si>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r>
      <t xml:space="preserve"> </t>
    </r>
    <r>
      <rPr>
        <sz val="12"/>
        <rFont val="宋体"/>
        <family val="3"/>
        <charset val="134"/>
      </rPr>
      <t xml:space="preserve">   C30</t>
    </r>
    <phoneticPr fontId="3" type="noConversion"/>
  </si>
  <si>
    <r>
      <t>1</t>
    </r>
    <r>
      <rPr>
        <sz val="11"/>
        <color theme="1"/>
        <rFont val="宋体"/>
        <family val="2"/>
        <scheme val="minor"/>
      </rPr>
      <t>0</t>
    </r>
    <phoneticPr fontId="3" type="noConversion"/>
  </si>
  <si>
    <t>16</t>
    <phoneticPr fontId="3" type="noConversion"/>
  </si>
  <si>
    <t>16</t>
    <phoneticPr fontId="3" type="noConversion"/>
  </si>
  <si>
    <r>
      <t>2</t>
    </r>
    <r>
      <rPr>
        <sz val="12"/>
        <rFont val="宋体"/>
        <family val="3"/>
        <charset val="134"/>
      </rPr>
      <t>5</t>
    </r>
    <phoneticPr fontId="3" type="noConversion"/>
  </si>
  <si>
    <t>桥墩C35</t>
    <phoneticPr fontId="3" type="noConversion"/>
  </si>
  <si>
    <t>桥墩钢筋25#</t>
    <phoneticPr fontId="2" type="noConversion"/>
  </si>
  <si>
    <t>桩基C30</t>
    <phoneticPr fontId="3" type="noConversion"/>
  </si>
  <si>
    <t>L=30m桩柱式桥台桩基础，D=1.8m</t>
    <phoneticPr fontId="3" type="noConversion"/>
  </si>
  <si>
    <t>L=40mT高墩桩基础4根D=1.8m  H=40-65</t>
    <phoneticPr fontId="3" type="noConversion"/>
  </si>
  <si>
    <t>b3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</si>
</sst>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"/>
    <numFmt numFmtId="177" formatCode="0.00_ "/>
    <numFmt numFmtId="178" formatCode="0.0_ "/>
  </numFmts>
  <fonts count="6" x14ac:knownFonts="1">
    <font>
      <sz val="11"/>
      <color theme="1"/>
      <name val="宋体"/>
      <family val="2"/>
      <scheme val="minor"/>
    </font>
    <font>
      <sz val="12"/>
      <name val="宋体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4" fillId="0" borderId="0"/>
    <xf numFmtId="0" fontId="4" fillId="0" borderId="0"/>
    <xf numFmtId="0" fontId="4" fillId="0" borderId="0"/>
  </cellStyleXfs>
  <cellXfs count="67">
    <xf numFmtId="0" fontId="0" fillId="0" borderId="0" xfId="0"/>
    <xf numFmtId="0" fontId="1" fillId="0" borderId="0" xfId="1"/>
    <xf numFmtId="176" fontId="1" fillId="0" borderId="0" xfId="1" applyNumberFormat="1"/>
    <xf numFmtId="0" fontId="4" fillId="0" borderId="0" xfId="1" applyFont="1"/>
    <xf numFmtId="0" fontId="4" fillId="0" borderId="2" xfId="1" applyFont="1" applyBorder="1"/>
    <xf numFmtId="0" fontId="4" fillId="0" borderId="3" xfId="1" applyFont="1" applyBorder="1"/>
    <xf numFmtId="0" fontId="4" fillId="0" borderId="4" xfId="1" applyFont="1" applyBorder="1"/>
    <xf numFmtId="0" fontId="4" fillId="0" borderId="4" xfId="1" applyFont="1" applyBorder="1" applyAlignment="1">
      <alignment horizontal="center"/>
    </xf>
    <xf numFmtId="0" fontId="4" fillId="0" borderId="5" xfId="1" applyFont="1" applyBorder="1"/>
    <xf numFmtId="0" fontId="4" fillId="0" borderId="2" xfId="1" applyFont="1" applyBorder="1" applyAlignment="1">
      <alignment horizontal="center"/>
    </xf>
    <xf numFmtId="177" fontId="1" fillId="0" borderId="5" xfId="1" applyNumberFormat="1" applyBorder="1" applyAlignment="1">
      <alignment horizontal="center"/>
    </xf>
    <xf numFmtId="0" fontId="1" fillId="0" borderId="0" xfId="1" applyAlignment="1">
      <alignment horizontal="center"/>
    </xf>
    <xf numFmtId="0" fontId="4" fillId="0" borderId="6" xfId="1" applyFont="1" applyBorder="1" applyAlignment="1">
      <alignment horizontal="center" vertical="center"/>
    </xf>
    <xf numFmtId="0" fontId="1" fillId="0" borderId="7" xfId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1" fillId="0" borderId="8" xfId="1" applyBorder="1" applyAlignment="1">
      <alignment horizontal="center"/>
    </xf>
    <xf numFmtId="177" fontId="1" fillId="0" borderId="8" xfId="1" applyNumberFormat="1" applyBorder="1"/>
    <xf numFmtId="178" fontId="1" fillId="0" borderId="8" xfId="1" applyNumberFormat="1" applyBorder="1" applyAlignment="1">
      <alignment horizontal="center"/>
    </xf>
    <xf numFmtId="0" fontId="1" fillId="0" borderId="9" xfId="1" applyBorder="1"/>
    <xf numFmtId="0" fontId="4" fillId="0" borderId="10" xfId="1" applyFont="1" applyBorder="1" applyAlignment="1">
      <alignment horizontal="center"/>
    </xf>
    <xf numFmtId="178" fontId="1" fillId="0" borderId="11" xfId="1" applyNumberFormat="1" applyBorder="1" applyAlignment="1">
      <alignment horizontal="center"/>
    </xf>
    <xf numFmtId="0" fontId="4" fillId="0" borderId="12" xfId="1" applyFont="1" applyBorder="1"/>
    <xf numFmtId="0" fontId="1" fillId="0" borderId="6" xfId="1" applyBorder="1" applyAlignment="1">
      <alignment horizontal="center" vertical="center"/>
    </xf>
    <xf numFmtId="177" fontId="1" fillId="0" borderId="12" xfId="1" applyNumberFormat="1" applyBorder="1" applyAlignment="1">
      <alignment horizontal="center"/>
    </xf>
    <xf numFmtId="0" fontId="4" fillId="0" borderId="13" xfId="1" applyFont="1" applyBorder="1" applyAlignment="1">
      <alignment horizontal="center"/>
    </xf>
    <xf numFmtId="178" fontId="1" fillId="0" borderId="14" xfId="1" applyNumberFormat="1" applyBorder="1" applyAlignment="1">
      <alignment horizontal="center"/>
    </xf>
    <xf numFmtId="0" fontId="1" fillId="2" borderId="0" xfId="1" applyFill="1"/>
    <xf numFmtId="0" fontId="1" fillId="0" borderId="15" xfId="1" applyBorder="1" applyAlignment="1">
      <alignment vertical="center"/>
    </xf>
    <xf numFmtId="0" fontId="1" fillId="0" borderId="16" xfId="1" applyBorder="1"/>
    <xf numFmtId="0" fontId="4" fillId="0" borderId="2" xfId="1" applyFont="1" applyFill="1" applyBorder="1" applyAlignment="1">
      <alignment horizontal="center"/>
    </xf>
    <xf numFmtId="0" fontId="1" fillId="0" borderId="17" xfId="1" applyBorder="1" applyAlignment="1"/>
    <xf numFmtId="0" fontId="1" fillId="0" borderId="18" xfId="1" applyBorder="1"/>
    <xf numFmtId="0" fontId="4" fillId="0" borderId="6" xfId="1" applyFont="1" applyBorder="1" applyAlignment="1">
      <alignment horizontal="center"/>
    </xf>
    <xf numFmtId="0" fontId="4" fillId="0" borderId="18" xfId="1" applyFont="1" applyBorder="1"/>
    <xf numFmtId="0" fontId="1" fillId="0" borderId="6" xfId="1" applyBorder="1" applyAlignment="1">
      <alignment horizontal="center"/>
    </xf>
    <xf numFmtId="177" fontId="1" fillId="0" borderId="18" xfId="1" applyNumberFormat="1" applyBorder="1" applyAlignment="1">
      <alignment horizontal="center"/>
    </xf>
    <xf numFmtId="0" fontId="1" fillId="0" borderId="6" xfId="1" applyBorder="1" applyAlignment="1"/>
    <xf numFmtId="0" fontId="1" fillId="0" borderId="19" xfId="1" applyBorder="1" applyAlignment="1"/>
    <xf numFmtId="0" fontId="1" fillId="0" borderId="20" xfId="1" applyBorder="1" applyAlignment="1">
      <alignment horizontal="center"/>
    </xf>
    <xf numFmtId="0" fontId="4" fillId="0" borderId="21" xfId="1" applyFont="1" applyBorder="1" applyAlignment="1">
      <alignment horizontal="center"/>
    </xf>
    <xf numFmtId="0" fontId="1" fillId="0" borderId="21" xfId="1" applyBorder="1" applyAlignment="1">
      <alignment horizontal="center"/>
    </xf>
    <xf numFmtId="177" fontId="1" fillId="0" borderId="21" xfId="1" applyNumberFormat="1" applyBorder="1"/>
    <xf numFmtId="178" fontId="1" fillId="0" borderId="21" xfId="1" applyNumberFormat="1" applyBorder="1" applyAlignment="1">
      <alignment horizontal="center"/>
    </xf>
    <xf numFmtId="0" fontId="1" fillId="0" borderId="22" xfId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1" fillId="3" borderId="0" xfId="1" applyFill="1"/>
    <xf numFmtId="0" fontId="4" fillId="3" borderId="0" xfId="1" applyFont="1" applyFill="1" applyAlignment="1">
      <alignment horizontal="center"/>
    </xf>
    <xf numFmtId="177" fontId="1" fillId="0" borderId="8" xfId="1" applyNumberFormat="1" applyBorder="1" applyAlignment="1">
      <alignment horizontal="center"/>
    </xf>
    <xf numFmtId="0" fontId="1" fillId="0" borderId="0" xfId="1" applyBorder="1" applyAlignment="1"/>
    <xf numFmtId="0" fontId="1" fillId="0" borderId="0" xfId="1" applyBorder="1" applyAlignment="1">
      <alignment horizontal="center"/>
    </xf>
    <xf numFmtId="0" fontId="4" fillId="0" borderId="0" xfId="1" applyFont="1" applyBorder="1" applyAlignment="1">
      <alignment horizontal="center"/>
    </xf>
    <xf numFmtId="177" fontId="1" fillId="0" borderId="0" xfId="1" applyNumberFormat="1" applyBorder="1"/>
    <xf numFmtId="178" fontId="1" fillId="0" borderId="0" xfId="1" applyNumberFormat="1" applyBorder="1" applyAlignment="1">
      <alignment horizontal="center"/>
    </xf>
    <xf numFmtId="0" fontId="1" fillId="0" borderId="0" xfId="1" applyBorder="1"/>
    <xf numFmtId="0" fontId="1" fillId="4" borderId="0" xfId="1" applyFill="1" applyAlignment="1"/>
    <xf numFmtId="1" fontId="1" fillId="0" borderId="0" xfId="1" applyNumberFormat="1"/>
    <xf numFmtId="0" fontId="4" fillId="2" borderId="0" xfId="1" applyFont="1" applyFill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4" fillId="2" borderId="23" xfId="1" applyFont="1" applyFill="1" applyBorder="1" applyAlignment="1">
      <alignment horizontal="center"/>
    </xf>
    <xf numFmtId="0" fontId="1" fillId="2" borderId="23" xfId="1" applyFill="1" applyBorder="1" applyAlignment="1">
      <alignment horizontal="center"/>
    </xf>
    <xf numFmtId="0" fontId="1" fillId="2" borderId="0" xfId="1" applyFill="1" applyAlignment="1">
      <alignment horizontal="center"/>
    </xf>
    <xf numFmtId="0" fontId="1" fillId="0" borderId="0" xfId="1" applyAlignment="1">
      <alignment horizontal="center"/>
    </xf>
    <xf numFmtId="0" fontId="4" fillId="2" borderId="0" xfId="1" applyFont="1" applyFill="1" applyAlignment="1">
      <alignment horizontal="center"/>
    </xf>
    <xf numFmtId="0" fontId="4" fillId="0" borderId="1" xfId="1" applyFont="1" applyBorder="1" applyAlignment="1">
      <alignment horizontal="center"/>
    </xf>
    <xf numFmtId="0" fontId="4" fillId="0" borderId="0" xfId="1" applyFont="1" applyAlignment="1">
      <alignment horizontal="left"/>
    </xf>
    <xf numFmtId="0" fontId="4" fillId="3" borderId="0" xfId="1" applyFont="1" applyFill="1" applyAlignment="1">
      <alignment horizontal="center"/>
    </xf>
  </cellXfs>
  <cellStyles count="5">
    <cellStyle name="常规" xfId="0" builtinId="0"/>
    <cellStyle name="常规 10" xfId="2"/>
    <cellStyle name="常规 2" xfId="1"/>
    <cellStyle name="常规 3" xfId="3"/>
    <cellStyle name="常规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tabSelected="1" workbookViewId="0">
      <selection activeCell="H13" sqref="H13"/>
    </sheetView>
  </sheetViews>
  <sheetFormatPr defaultRowHeight="14.25" x14ac:dyDescent="0.15"/>
  <cols>
    <col min="1" max="1" width="9.5" style="1" bestFit="1" customWidth="1"/>
    <col min="2" max="2" width="9" style="1"/>
    <col min="3" max="4" width="18.375" style="1" bestFit="1" customWidth="1"/>
    <col min="5" max="5" width="11.625" style="1" bestFit="1" customWidth="1"/>
    <col min="6" max="8" width="11.875" style="1" bestFit="1" customWidth="1"/>
    <col min="9" max="9" width="14.125" style="1" bestFit="1" customWidth="1"/>
    <col min="10" max="11" width="9.5" style="1" bestFit="1" customWidth="1"/>
    <col min="12" max="12" width="11.625" style="1" bestFit="1" customWidth="1"/>
    <col min="13" max="15" width="10.5" style="1" bestFit="1" customWidth="1"/>
    <col min="16" max="16" width="9.5" style="1" bestFit="1" customWidth="1"/>
    <col min="17" max="259" width="9" style="1"/>
    <col min="260" max="260" width="9.5" style="1" bestFit="1" customWidth="1"/>
    <col min="261" max="261" width="9" style="1"/>
    <col min="262" max="263" width="18.375" style="1" bestFit="1" customWidth="1"/>
    <col min="264" max="264" width="11.625" style="1" bestFit="1" customWidth="1"/>
    <col min="265" max="265" width="13.875" style="1" bestFit="1" customWidth="1"/>
    <col min="266" max="515" width="9" style="1"/>
    <col min="516" max="516" width="9.5" style="1" bestFit="1" customWidth="1"/>
    <col min="517" max="517" width="9" style="1"/>
    <col min="518" max="519" width="18.375" style="1" bestFit="1" customWidth="1"/>
    <col min="520" max="520" width="11.625" style="1" bestFit="1" customWidth="1"/>
    <col min="521" max="521" width="13.875" style="1" bestFit="1" customWidth="1"/>
    <col min="522" max="771" width="9" style="1"/>
    <col min="772" max="772" width="9.5" style="1" bestFit="1" customWidth="1"/>
    <col min="773" max="773" width="9" style="1"/>
    <col min="774" max="775" width="18.375" style="1" bestFit="1" customWidth="1"/>
    <col min="776" max="776" width="11.625" style="1" bestFit="1" customWidth="1"/>
    <col min="777" max="777" width="13.875" style="1" bestFit="1" customWidth="1"/>
    <col min="778" max="1027" width="9" style="1"/>
    <col min="1028" max="1028" width="9.5" style="1" bestFit="1" customWidth="1"/>
    <col min="1029" max="1029" width="9" style="1"/>
    <col min="1030" max="1031" width="18.375" style="1" bestFit="1" customWidth="1"/>
    <col min="1032" max="1032" width="11.625" style="1" bestFit="1" customWidth="1"/>
    <col min="1033" max="1033" width="13.875" style="1" bestFit="1" customWidth="1"/>
    <col min="1034" max="1283" width="9" style="1"/>
    <col min="1284" max="1284" width="9.5" style="1" bestFit="1" customWidth="1"/>
    <col min="1285" max="1285" width="9" style="1"/>
    <col min="1286" max="1287" width="18.375" style="1" bestFit="1" customWidth="1"/>
    <col min="1288" max="1288" width="11.625" style="1" bestFit="1" customWidth="1"/>
    <col min="1289" max="1289" width="13.875" style="1" bestFit="1" customWidth="1"/>
    <col min="1290" max="1539" width="9" style="1"/>
    <col min="1540" max="1540" width="9.5" style="1" bestFit="1" customWidth="1"/>
    <col min="1541" max="1541" width="9" style="1"/>
    <col min="1542" max="1543" width="18.375" style="1" bestFit="1" customWidth="1"/>
    <col min="1544" max="1544" width="11.625" style="1" bestFit="1" customWidth="1"/>
    <col min="1545" max="1545" width="13.875" style="1" bestFit="1" customWidth="1"/>
    <col min="1546" max="1795" width="9" style="1"/>
    <col min="1796" max="1796" width="9.5" style="1" bestFit="1" customWidth="1"/>
    <col min="1797" max="1797" width="9" style="1"/>
    <col min="1798" max="1799" width="18.375" style="1" bestFit="1" customWidth="1"/>
    <col min="1800" max="1800" width="11.625" style="1" bestFit="1" customWidth="1"/>
    <col min="1801" max="1801" width="13.875" style="1" bestFit="1" customWidth="1"/>
    <col min="1802" max="2051" width="9" style="1"/>
    <col min="2052" max="2052" width="9.5" style="1" bestFit="1" customWidth="1"/>
    <col min="2053" max="2053" width="9" style="1"/>
    <col min="2054" max="2055" width="18.375" style="1" bestFit="1" customWidth="1"/>
    <col min="2056" max="2056" width="11.625" style="1" bestFit="1" customWidth="1"/>
    <col min="2057" max="2057" width="13.875" style="1" bestFit="1" customWidth="1"/>
    <col min="2058" max="2307" width="9" style="1"/>
    <col min="2308" max="2308" width="9.5" style="1" bestFit="1" customWidth="1"/>
    <col min="2309" max="2309" width="9" style="1"/>
    <col min="2310" max="2311" width="18.375" style="1" bestFit="1" customWidth="1"/>
    <col min="2312" max="2312" width="11.625" style="1" bestFit="1" customWidth="1"/>
    <col min="2313" max="2313" width="13.875" style="1" bestFit="1" customWidth="1"/>
    <col min="2314" max="2563" width="9" style="1"/>
    <col min="2564" max="2564" width="9.5" style="1" bestFit="1" customWidth="1"/>
    <col min="2565" max="2565" width="9" style="1"/>
    <col min="2566" max="2567" width="18.375" style="1" bestFit="1" customWidth="1"/>
    <col min="2568" max="2568" width="11.625" style="1" bestFit="1" customWidth="1"/>
    <col min="2569" max="2569" width="13.875" style="1" bestFit="1" customWidth="1"/>
    <col min="2570" max="2819" width="9" style="1"/>
    <col min="2820" max="2820" width="9.5" style="1" bestFit="1" customWidth="1"/>
    <col min="2821" max="2821" width="9" style="1"/>
    <col min="2822" max="2823" width="18.375" style="1" bestFit="1" customWidth="1"/>
    <col min="2824" max="2824" width="11.625" style="1" bestFit="1" customWidth="1"/>
    <col min="2825" max="2825" width="13.875" style="1" bestFit="1" customWidth="1"/>
    <col min="2826" max="3075" width="9" style="1"/>
    <col min="3076" max="3076" width="9.5" style="1" bestFit="1" customWidth="1"/>
    <col min="3077" max="3077" width="9" style="1"/>
    <col min="3078" max="3079" width="18.375" style="1" bestFit="1" customWidth="1"/>
    <col min="3080" max="3080" width="11.625" style="1" bestFit="1" customWidth="1"/>
    <col min="3081" max="3081" width="13.875" style="1" bestFit="1" customWidth="1"/>
    <col min="3082" max="3331" width="9" style="1"/>
    <col min="3332" max="3332" width="9.5" style="1" bestFit="1" customWidth="1"/>
    <col min="3333" max="3333" width="9" style="1"/>
    <col min="3334" max="3335" width="18.375" style="1" bestFit="1" customWidth="1"/>
    <col min="3336" max="3336" width="11.625" style="1" bestFit="1" customWidth="1"/>
    <col min="3337" max="3337" width="13.875" style="1" bestFit="1" customWidth="1"/>
    <col min="3338" max="3587" width="9" style="1"/>
    <col min="3588" max="3588" width="9.5" style="1" bestFit="1" customWidth="1"/>
    <col min="3589" max="3589" width="9" style="1"/>
    <col min="3590" max="3591" width="18.375" style="1" bestFit="1" customWidth="1"/>
    <col min="3592" max="3592" width="11.625" style="1" bestFit="1" customWidth="1"/>
    <col min="3593" max="3593" width="13.875" style="1" bestFit="1" customWidth="1"/>
    <col min="3594" max="3843" width="9" style="1"/>
    <col min="3844" max="3844" width="9.5" style="1" bestFit="1" customWidth="1"/>
    <col min="3845" max="3845" width="9" style="1"/>
    <col min="3846" max="3847" width="18.375" style="1" bestFit="1" customWidth="1"/>
    <col min="3848" max="3848" width="11.625" style="1" bestFit="1" customWidth="1"/>
    <col min="3849" max="3849" width="13.875" style="1" bestFit="1" customWidth="1"/>
    <col min="3850" max="4099" width="9" style="1"/>
    <col min="4100" max="4100" width="9.5" style="1" bestFit="1" customWidth="1"/>
    <col min="4101" max="4101" width="9" style="1"/>
    <col min="4102" max="4103" width="18.375" style="1" bestFit="1" customWidth="1"/>
    <col min="4104" max="4104" width="11.625" style="1" bestFit="1" customWidth="1"/>
    <col min="4105" max="4105" width="13.875" style="1" bestFit="1" customWidth="1"/>
    <col min="4106" max="4355" width="9" style="1"/>
    <col min="4356" max="4356" width="9.5" style="1" bestFit="1" customWidth="1"/>
    <col min="4357" max="4357" width="9" style="1"/>
    <col min="4358" max="4359" width="18.375" style="1" bestFit="1" customWidth="1"/>
    <col min="4360" max="4360" width="11.625" style="1" bestFit="1" customWidth="1"/>
    <col min="4361" max="4361" width="13.875" style="1" bestFit="1" customWidth="1"/>
    <col min="4362" max="4611" width="9" style="1"/>
    <col min="4612" max="4612" width="9.5" style="1" bestFit="1" customWidth="1"/>
    <col min="4613" max="4613" width="9" style="1"/>
    <col min="4614" max="4615" width="18.375" style="1" bestFit="1" customWidth="1"/>
    <col min="4616" max="4616" width="11.625" style="1" bestFit="1" customWidth="1"/>
    <col min="4617" max="4617" width="13.875" style="1" bestFit="1" customWidth="1"/>
    <col min="4618" max="4867" width="9" style="1"/>
    <col min="4868" max="4868" width="9.5" style="1" bestFit="1" customWidth="1"/>
    <col min="4869" max="4869" width="9" style="1"/>
    <col min="4870" max="4871" width="18.375" style="1" bestFit="1" customWidth="1"/>
    <col min="4872" max="4872" width="11.625" style="1" bestFit="1" customWidth="1"/>
    <col min="4873" max="4873" width="13.875" style="1" bestFit="1" customWidth="1"/>
    <col min="4874" max="5123" width="9" style="1"/>
    <col min="5124" max="5124" width="9.5" style="1" bestFit="1" customWidth="1"/>
    <col min="5125" max="5125" width="9" style="1"/>
    <col min="5126" max="5127" width="18.375" style="1" bestFit="1" customWidth="1"/>
    <col min="5128" max="5128" width="11.625" style="1" bestFit="1" customWidth="1"/>
    <col min="5129" max="5129" width="13.875" style="1" bestFit="1" customWidth="1"/>
    <col min="5130" max="5379" width="9" style="1"/>
    <col min="5380" max="5380" width="9.5" style="1" bestFit="1" customWidth="1"/>
    <col min="5381" max="5381" width="9" style="1"/>
    <col min="5382" max="5383" width="18.375" style="1" bestFit="1" customWidth="1"/>
    <col min="5384" max="5384" width="11.625" style="1" bestFit="1" customWidth="1"/>
    <col min="5385" max="5385" width="13.875" style="1" bestFit="1" customWidth="1"/>
    <col min="5386" max="5635" width="9" style="1"/>
    <col min="5636" max="5636" width="9.5" style="1" bestFit="1" customWidth="1"/>
    <col min="5637" max="5637" width="9" style="1"/>
    <col min="5638" max="5639" width="18.375" style="1" bestFit="1" customWidth="1"/>
    <col min="5640" max="5640" width="11.625" style="1" bestFit="1" customWidth="1"/>
    <col min="5641" max="5641" width="13.875" style="1" bestFit="1" customWidth="1"/>
    <col min="5642" max="5891" width="9" style="1"/>
    <col min="5892" max="5892" width="9.5" style="1" bestFit="1" customWidth="1"/>
    <col min="5893" max="5893" width="9" style="1"/>
    <col min="5894" max="5895" width="18.375" style="1" bestFit="1" customWidth="1"/>
    <col min="5896" max="5896" width="11.625" style="1" bestFit="1" customWidth="1"/>
    <col min="5897" max="5897" width="13.875" style="1" bestFit="1" customWidth="1"/>
    <col min="5898" max="6147" width="9" style="1"/>
    <col min="6148" max="6148" width="9.5" style="1" bestFit="1" customWidth="1"/>
    <col min="6149" max="6149" width="9" style="1"/>
    <col min="6150" max="6151" width="18.375" style="1" bestFit="1" customWidth="1"/>
    <col min="6152" max="6152" width="11.625" style="1" bestFit="1" customWidth="1"/>
    <col min="6153" max="6153" width="13.875" style="1" bestFit="1" customWidth="1"/>
    <col min="6154" max="6403" width="9" style="1"/>
    <col min="6404" max="6404" width="9.5" style="1" bestFit="1" customWidth="1"/>
    <col min="6405" max="6405" width="9" style="1"/>
    <col min="6406" max="6407" width="18.375" style="1" bestFit="1" customWidth="1"/>
    <col min="6408" max="6408" width="11.625" style="1" bestFit="1" customWidth="1"/>
    <col min="6409" max="6409" width="13.875" style="1" bestFit="1" customWidth="1"/>
    <col min="6410" max="6659" width="9" style="1"/>
    <col min="6660" max="6660" width="9.5" style="1" bestFit="1" customWidth="1"/>
    <col min="6661" max="6661" width="9" style="1"/>
    <col min="6662" max="6663" width="18.375" style="1" bestFit="1" customWidth="1"/>
    <col min="6664" max="6664" width="11.625" style="1" bestFit="1" customWidth="1"/>
    <col min="6665" max="6665" width="13.875" style="1" bestFit="1" customWidth="1"/>
    <col min="6666" max="6915" width="9" style="1"/>
    <col min="6916" max="6916" width="9.5" style="1" bestFit="1" customWidth="1"/>
    <col min="6917" max="6917" width="9" style="1"/>
    <col min="6918" max="6919" width="18.375" style="1" bestFit="1" customWidth="1"/>
    <col min="6920" max="6920" width="11.625" style="1" bestFit="1" customWidth="1"/>
    <col min="6921" max="6921" width="13.875" style="1" bestFit="1" customWidth="1"/>
    <col min="6922" max="7171" width="9" style="1"/>
    <col min="7172" max="7172" width="9.5" style="1" bestFit="1" customWidth="1"/>
    <col min="7173" max="7173" width="9" style="1"/>
    <col min="7174" max="7175" width="18.375" style="1" bestFit="1" customWidth="1"/>
    <col min="7176" max="7176" width="11.625" style="1" bestFit="1" customWidth="1"/>
    <col min="7177" max="7177" width="13.875" style="1" bestFit="1" customWidth="1"/>
    <col min="7178" max="7427" width="9" style="1"/>
    <col min="7428" max="7428" width="9.5" style="1" bestFit="1" customWidth="1"/>
    <col min="7429" max="7429" width="9" style="1"/>
    <col min="7430" max="7431" width="18.375" style="1" bestFit="1" customWidth="1"/>
    <col min="7432" max="7432" width="11.625" style="1" bestFit="1" customWidth="1"/>
    <col min="7433" max="7433" width="13.875" style="1" bestFit="1" customWidth="1"/>
    <col min="7434" max="7683" width="9" style="1"/>
    <col min="7684" max="7684" width="9.5" style="1" bestFit="1" customWidth="1"/>
    <col min="7685" max="7685" width="9" style="1"/>
    <col min="7686" max="7687" width="18.375" style="1" bestFit="1" customWidth="1"/>
    <col min="7688" max="7688" width="11.625" style="1" bestFit="1" customWidth="1"/>
    <col min="7689" max="7689" width="13.875" style="1" bestFit="1" customWidth="1"/>
    <col min="7690" max="7939" width="9" style="1"/>
    <col min="7940" max="7940" width="9.5" style="1" bestFit="1" customWidth="1"/>
    <col min="7941" max="7941" width="9" style="1"/>
    <col min="7942" max="7943" width="18.375" style="1" bestFit="1" customWidth="1"/>
    <col min="7944" max="7944" width="11.625" style="1" bestFit="1" customWidth="1"/>
    <col min="7945" max="7945" width="13.875" style="1" bestFit="1" customWidth="1"/>
    <col min="7946" max="8195" width="9" style="1"/>
    <col min="8196" max="8196" width="9.5" style="1" bestFit="1" customWidth="1"/>
    <col min="8197" max="8197" width="9" style="1"/>
    <col min="8198" max="8199" width="18.375" style="1" bestFit="1" customWidth="1"/>
    <col min="8200" max="8200" width="11.625" style="1" bestFit="1" customWidth="1"/>
    <col min="8201" max="8201" width="13.875" style="1" bestFit="1" customWidth="1"/>
    <col min="8202" max="8451" width="9" style="1"/>
    <col min="8452" max="8452" width="9.5" style="1" bestFit="1" customWidth="1"/>
    <col min="8453" max="8453" width="9" style="1"/>
    <col min="8454" max="8455" width="18.375" style="1" bestFit="1" customWidth="1"/>
    <col min="8456" max="8456" width="11.625" style="1" bestFit="1" customWidth="1"/>
    <col min="8457" max="8457" width="13.875" style="1" bestFit="1" customWidth="1"/>
    <col min="8458" max="8707" width="9" style="1"/>
    <col min="8708" max="8708" width="9.5" style="1" bestFit="1" customWidth="1"/>
    <col min="8709" max="8709" width="9" style="1"/>
    <col min="8710" max="8711" width="18.375" style="1" bestFit="1" customWidth="1"/>
    <col min="8712" max="8712" width="11.625" style="1" bestFit="1" customWidth="1"/>
    <col min="8713" max="8713" width="13.875" style="1" bestFit="1" customWidth="1"/>
    <col min="8714" max="8963" width="9" style="1"/>
    <col min="8964" max="8964" width="9.5" style="1" bestFit="1" customWidth="1"/>
    <col min="8965" max="8965" width="9" style="1"/>
    <col min="8966" max="8967" width="18.375" style="1" bestFit="1" customWidth="1"/>
    <col min="8968" max="8968" width="11.625" style="1" bestFit="1" customWidth="1"/>
    <col min="8969" max="8969" width="13.875" style="1" bestFit="1" customWidth="1"/>
    <col min="8970" max="9219" width="9" style="1"/>
    <col min="9220" max="9220" width="9.5" style="1" bestFit="1" customWidth="1"/>
    <col min="9221" max="9221" width="9" style="1"/>
    <col min="9222" max="9223" width="18.375" style="1" bestFit="1" customWidth="1"/>
    <col min="9224" max="9224" width="11.625" style="1" bestFit="1" customWidth="1"/>
    <col min="9225" max="9225" width="13.875" style="1" bestFit="1" customWidth="1"/>
    <col min="9226" max="9475" width="9" style="1"/>
    <col min="9476" max="9476" width="9.5" style="1" bestFit="1" customWidth="1"/>
    <col min="9477" max="9477" width="9" style="1"/>
    <col min="9478" max="9479" width="18.375" style="1" bestFit="1" customWidth="1"/>
    <col min="9480" max="9480" width="11.625" style="1" bestFit="1" customWidth="1"/>
    <col min="9481" max="9481" width="13.875" style="1" bestFit="1" customWidth="1"/>
    <col min="9482" max="9731" width="9" style="1"/>
    <col min="9732" max="9732" width="9.5" style="1" bestFit="1" customWidth="1"/>
    <col min="9733" max="9733" width="9" style="1"/>
    <col min="9734" max="9735" width="18.375" style="1" bestFit="1" customWidth="1"/>
    <col min="9736" max="9736" width="11.625" style="1" bestFit="1" customWidth="1"/>
    <col min="9737" max="9737" width="13.875" style="1" bestFit="1" customWidth="1"/>
    <col min="9738" max="9987" width="9" style="1"/>
    <col min="9988" max="9988" width="9.5" style="1" bestFit="1" customWidth="1"/>
    <col min="9989" max="9989" width="9" style="1"/>
    <col min="9990" max="9991" width="18.375" style="1" bestFit="1" customWidth="1"/>
    <col min="9992" max="9992" width="11.625" style="1" bestFit="1" customWidth="1"/>
    <col min="9993" max="9993" width="13.875" style="1" bestFit="1" customWidth="1"/>
    <col min="9994" max="10243" width="9" style="1"/>
    <col min="10244" max="10244" width="9.5" style="1" bestFit="1" customWidth="1"/>
    <col min="10245" max="10245" width="9" style="1"/>
    <col min="10246" max="10247" width="18.375" style="1" bestFit="1" customWidth="1"/>
    <col min="10248" max="10248" width="11.625" style="1" bestFit="1" customWidth="1"/>
    <col min="10249" max="10249" width="13.875" style="1" bestFit="1" customWidth="1"/>
    <col min="10250" max="10499" width="9" style="1"/>
    <col min="10500" max="10500" width="9.5" style="1" bestFit="1" customWidth="1"/>
    <col min="10501" max="10501" width="9" style="1"/>
    <col min="10502" max="10503" width="18.375" style="1" bestFit="1" customWidth="1"/>
    <col min="10504" max="10504" width="11.625" style="1" bestFit="1" customWidth="1"/>
    <col min="10505" max="10505" width="13.875" style="1" bestFit="1" customWidth="1"/>
    <col min="10506" max="10755" width="9" style="1"/>
    <col min="10756" max="10756" width="9.5" style="1" bestFit="1" customWidth="1"/>
    <col min="10757" max="10757" width="9" style="1"/>
    <col min="10758" max="10759" width="18.375" style="1" bestFit="1" customWidth="1"/>
    <col min="10760" max="10760" width="11.625" style="1" bestFit="1" customWidth="1"/>
    <col min="10761" max="10761" width="13.875" style="1" bestFit="1" customWidth="1"/>
    <col min="10762" max="11011" width="9" style="1"/>
    <col min="11012" max="11012" width="9.5" style="1" bestFit="1" customWidth="1"/>
    <col min="11013" max="11013" width="9" style="1"/>
    <col min="11014" max="11015" width="18.375" style="1" bestFit="1" customWidth="1"/>
    <col min="11016" max="11016" width="11.625" style="1" bestFit="1" customWidth="1"/>
    <col min="11017" max="11017" width="13.875" style="1" bestFit="1" customWidth="1"/>
    <col min="11018" max="11267" width="9" style="1"/>
    <col min="11268" max="11268" width="9.5" style="1" bestFit="1" customWidth="1"/>
    <col min="11269" max="11269" width="9" style="1"/>
    <col min="11270" max="11271" width="18.375" style="1" bestFit="1" customWidth="1"/>
    <col min="11272" max="11272" width="11.625" style="1" bestFit="1" customWidth="1"/>
    <col min="11273" max="11273" width="13.875" style="1" bestFit="1" customWidth="1"/>
    <col min="11274" max="11523" width="9" style="1"/>
    <col min="11524" max="11524" width="9.5" style="1" bestFit="1" customWidth="1"/>
    <col min="11525" max="11525" width="9" style="1"/>
    <col min="11526" max="11527" width="18.375" style="1" bestFit="1" customWidth="1"/>
    <col min="11528" max="11528" width="11.625" style="1" bestFit="1" customWidth="1"/>
    <col min="11529" max="11529" width="13.875" style="1" bestFit="1" customWidth="1"/>
    <col min="11530" max="11779" width="9" style="1"/>
    <col min="11780" max="11780" width="9.5" style="1" bestFit="1" customWidth="1"/>
    <col min="11781" max="11781" width="9" style="1"/>
    <col min="11782" max="11783" width="18.375" style="1" bestFit="1" customWidth="1"/>
    <col min="11784" max="11784" width="11.625" style="1" bestFit="1" customWidth="1"/>
    <col min="11785" max="11785" width="13.875" style="1" bestFit="1" customWidth="1"/>
    <col min="11786" max="12035" width="9" style="1"/>
    <col min="12036" max="12036" width="9.5" style="1" bestFit="1" customWidth="1"/>
    <col min="12037" max="12037" width="9" style="1"/>
    <col min="12038" max="12039" width="18.375" style="1" bestFit="1" customWidth="1"/>
    <col min="12040" max="12040" width="11.625" style="1" bestFit="1" customWidth="1"/>
    <col min="12041" max="12041" width="13.875" style="1" bestFit="1" customWidth="1"/>
    <col min="12042" max="12291" width="9" style="1"/>
    <col min="12292" max="12292" width="9.5" style="1" bestFit="1" customWidth="1"/>
    <col min="12293" max="12293" width="9" style="1"/>
    <col min="12294" max="12295" width="18.375" style="1" bestFit="1" customWidth="1"/>
    <col min="12296" max="12296" width="11.625" style="1" bestFit="1" customWidth="1"/>
    <col min="12297" max="12297" width="13.875" style="1" bestFit="1" customWidth="1"/>
    <col min="12298" max="12547" width="9" style="1"/>
    <col min="12548" max="12548" width="9.5" style="1" bestFit="1" customWidth="1"/>
    <col min="12549" max="12549" width="9" style="1"/>
    <col min="12550" max="12551" width="18.375" style="1" bestFit="1" customWidth="1"/>
    <col min="12552" max="12552" width="11.625" style="1" bestFit="1" customWidth="1"/>
    <col min="12553" max="12553" width="13.875" style="1" bestFit="1" customWidth="1"/>
    <col min="12554" max="12803" width="9" style="1"/>
    <col min="12804" max="12804" width="9.5" style="1" bestFit="1" customWidth="1"/>
    <col min="12805" max="12805" width="9" style="1"/>
    <col min="12806" max="12807" width="18.375" style="1" bestFit="1" customWidth="1"/>
    <col min="12808" max="12808" width="11.625" style="1" bestFit="1" customWidth="1"/>
    <col min="12809" max="12809" width="13.875" style="1" bestFit="1" customWidth="1"/>
    <col min="12810" max="13059" width="9" style="1"/>
    <col min="13060" max="13060" width="9.5" style="1" bestFit="1" customWidth="1"/>
    <col min="13061" max="13061" width="9" style="1"/>
    <col min="13062" max="13063" width="18.375" style="1" bestFit="1" customWidth="1"/>
    <col min="13064" max="13064" width="11.625" style="1" bestFit="1" customWidth="1"/>
    <col min="13065" max="13065" width="13.875" style="1" bestFit="1" customWidth="1"/>
    <col min="13066" max="13315" width="9" style="1"/>
    <col min="13316" max="13316" width="9.5" style="1" bestFit="1" customWidth="1"/>
    <col min="13317" max="13317" width="9" style="1"/>
    <col min="13318" max="13319" width="18.375" style="1" bestFit="1" customWidth="1"/>
    <col min="13320" max="13320" width="11.625" style="1" bestFit="1" customWidth="1"/>
    <col min="13321" max="13321" width="13.875" style="1" bestFit="1" customWidth="1"/>
    <col min="13322" max="13571" width="9" style="1"/>
    <col min="13572" max="13572" width="9.5" style="1" bestFit="1" customWidth="1"/>
    <col min="13573" max="13573" width="9" style="1"/>
    <col min="13574" max="13575" width="18.375" style="1" bestFit="1" customWidth="1"/>
    <col min="13576" max="13576" width="11.625" style="1" bestFit="1" customWidth="1"/>
    <col min="13577" max="13577" width="13.875" style="1" bestFit="1" customWidth="1"/>
    <col min="13578" max="13827" width="9" style="1"/>
    <col min="13828" max="13828" width="9.5" style="1" bestFit="1" customWidth="1"/>
    <col min="13829" max="13829" width="9" style="1"/>
    <col min="13830" max="13831" width="18.375" style="1" bestFit="1" customWidth="1"/>
    <col min="13832" max="13832" width="11.625" style="1" bestFit="1" customWidth="1"/>
    <col min="13833" max="13833" width="13.875" style="1" bestFit="1" customWidth="1"/>
    <col min="13834" max="14083" width="9" style="1"/>
    <col min="14084" max="14084" width="9.5" style="1" bestFit="1" customWidth="1"/>
    <col min="14085" max="14085" width="9" style="1"/>
    <col min="14086" max="14087" width="18.375" style="1" bestFit="1" customWidth="1"/>
    <col min="14088" max="14088" width="11.625" style="1" bestFit="1" customWidth="1"/>
    <col min="14089" max="14089" width="13.875" style="1" bestFit="1" customWidth="1"/>
    <col min="14090" max="14339" width="9" style="1"/>
    <col min="14340" max="14340" width="9.5" style="1" bestFit="1" customWidth="1"/>
    <col min="14341" max="14341" width="9" style="1"/>
    <col min="14342" max="14343" width="18.375" style="1" bestFit="1" customWidth="1"/>
    <col min="14344" max="14344" width="11.625" style="1" bestFit="1" customWidth="1"/>
    <col min="14345" max="14345" width="13.875" style="1" bestFit="1" customWidth="1"/>
    <col min="14346" max="14595" width="9" style="1"/>
    <col min="14596" max="14596" width="9.5" style="1" bestFit="1" customWidth="1"/>
    <col min="14597" max="14597" width="9" style="1"/>
    <col min="14598" max="14599" width="18.375" style="1" bestFit="1" customWidth="1"/>
    <col min="14600" max="14600" width="11.625" style="1" bestFit="1" customWidth="1"/>
    <col min="14601" max="14601" width="13.875" style="1" bestFit="1" customWidth="1"/>
    <col min="14602" max="14851" width="9" style="1"/>
    <col min="14852" max="14852" width="9.5" style="1" bestFit="1" customWidth="1"/>
    <col min="14853" max="14853" width="9" style="1"/>
    <col min="14854" max="14855" width="18.375" style="1" bestFit="1" customWidth="1"/>
    <col min="14856" max="14856" width="11.625" style="1" bestFit="1" customWidth="1"/>
    <col min="14857" max="14857" width="13.875" style="1" bestFit="1" customWidth="1"/>
    <col min="14858" max="15107" width="9" style="1"/>
    <col min="15108" max="15108" width="9.5" style="1" bestFit="1" customWidth="1"/>
    <col min="15109" max="15109" width="9" style="1"/>
    <col min="15110" max="15111" width="18.375" style="1" bestFit="1" customWidth="1"/>
    <col min="15112" max="15112" width="11.625" style="1" bestFit="1" customWidth="1"/>
    <col min="15113" max="15113" width="13.875" style="1" bestFit="1" customWidth="1"/>
    <col min="15114" max="15363" width="9" style="1"/>
    <col min="15364" max="15364" width="9.5" style="1" bestFit="1" customWidth="1"/>
    <col min="15365" max="15365" width="9" style="1"/>
    <col min="15366" max="15367" width="18.375" style="1" bestFit="1" customWidth="1"/>
    <col min="15368" max="15368" width="11.625" style="1" bestFit="1" customWidth="1"/>
    <col min="15369" max="15369" width="13.875" style="1" bestFit="1" customWidth="1"/>
    <col min="15370" max="15619" width="9" style="1"/>
    <col min="15620" max="15620" width="9.5" style="1" bestFit="1" customWidth="1"/>
    <col min="15621" max="15621" width="9" style="1"/>
    <col min="15622" max="15623" width="18.375" style="1" bestFit="1" customWidth="1"/>
    <col min="15624" max="15624" width="11.625" style="1" bestFit="1" customWidth="1"/>
    <col min="15625" max="15625" width="13.875" style="1" bestFit="1" customWidth="1"/>
    <col min="15626" max="15875" width="9" style="1"/>
    <col min="15876" max="15876" width="9.5" style="1" bestFit="1" customWidth="1"/>
    <col min="15877" max="15877" width="9" style="1"/>
    <col min="15878" max="15879" width="18.375" style="1" bestFit="1" customWidth="1"/>
    <col min="15880" max="15880" width="11.625" style="1" bestFit="1" customWidth="1"/>
    <col min="15881" max="15881" width="13.875" style="1" bestFit="1" customWidth="1"/>
    <col min="15882" max="16131" width="9" style="1"/>
    <col min="16132" max="16132" width="9.5" style="1" bestFit="1" customWidth="1"/>
    <col min="16133" max="16133" width="9" style="1"/>
    <col min="16134" max="16135" width="18.375" style="1" bestFit="1" customWidth="1"/>
    <col min="16136" max="16136" width="11.625" style="1" bestFit="1" customWidth="1"/>
    <col min="16137" max="16137" width="13.875" style="1" bestFit="1" customWidth="1"/>
    <col min="16138" max="16384" width="9" style="1"/>
  </cols>
  <sheetData>
    <row r="1" spans="1:12" x14ac:dyDescent="0.15">
      <c r="A1" s="1">
        <v>1</v>
      </c>
      <c r="B1" s="1" t="s">
        <v>254</v>
      </c>
      <c r="C1" s="1">
        <v>2</v>
      </c>
    </row>
    <row r="2" spans="1:12" x14ac:dyDescent="0.15">
      <c r="A2" s="1" t="s">
        <v>0</v>
      </c>
      <c r="B2" s="1" t="s">
        <v>1</v>
      </c>
      <c r="C2" s="1" t="s">
        <v>2</v>
      </c>
      <c r="D2" s="1" t="s">
        <v>3</v>
      </c>
      <c r="E2" s="1" t="s">
        <v>249</v>
      </c>
      <c r="F2" s="1" t="s">
        <v>250</v>
      </c>
      <c r="G2" s="1" t="s">
        <v>251</v>
      </c>
      <c r="H2" s="1" t="s">
        <v>4</v>
      </c>
      <c r="I2" s="1" t="s">
        <v>5</v>
      </c>
      <c r="J2" s="1" t="s">
        <v>6</v>
      </c>
      <c r="K2" s="1" t="s">
        <v>7</v>
      </c>
    </row>
    <row r="3" spans="1:12" x14ac:dyDescent="0.15">
      <c r="A3" s="1">
        <v>30</v>
      </c>
      <c r="B3" s="1">
        <v>15</v>
      </c>
      <c r="C3" s="1">
        <v>1500</v>
      </c>
      <c r="D3" s="1">
        <v>2000</v>
      </c>
      <c r="E3" s="2">
        <f>cal_quantity_of_bridge_piers($A3,$B3,$C3,$D3,E$2)</f>
        <v>26.493749999999999</v>
      </c>
      <c r="F3" s="2">
        <f>cal_quantity_of_bridge_piers($A3,$B3,$C3,$D3,F$2)</f>
        <v>2633.0727500000003</v>
      </c>
      <c r="G3" s="2">
        <f>cal_quantity_of_bridge_piers($A3,$B3,$C3,$D3,G$2)</f>
        <v>50.868000000000002</v>
      </c>
      <c r="H3" s="2" t="e">
        <f>cal_quantity_of_bridge_piers($A3,$B3,$C3,$D3,H$2)</f>
        <v>#VALUE!</v>
      </c>
      <c r="I3" s="2"/>
    </row>
    <row r="4" spans="1:12" x14ac:dyDescent="0.15">
      <c r="E4" s="2"/>
      <c r="F4" s="2"/>
      <c r="G4" s="2"/>
    </row>
    <row r="5" spans="1:12" x14ac:dyDescent="0.15">
      <c r="E5" s="2"/>
      <c r="F5" s="2"/>
      <c r="G5" s="2"/>
    </row>
    <row r="6" spans="1:12" x14ac:dyDescent="0.15">
      <c r="E6" s="2"/>
      <c r="F6" s="2"/>
      <c r="G6" s="2"/>
    </row>
    <row r="7" spans="1:12" x14ac:dyDescent="0.15">
      <c r="E7" s="2"/>
      <c r="F7" s="2"/>
      <c r="G7" s="2"/>
    </row>
    <row r="8" spans="1:12" x14ac:dyDescent="0.15">
      <c r="E8" s="2"/>
      <c r="F8" s="2"/>
      <c r="G8" s="2"/>
    </row>
    <row r="9" spans="1:12" x14ac:dyDescent="0.15">
      <c r="E9" s="2"/>
      <c r="F9" s="2"/>
      <c r="G9" s="2"/>
    </row>
    <row r="10" spans="1:12" x14ac:dyDescent="0.15">
      <c r="E10" s="2"/>
      <c r="F10" s="2"/>
      <c r="G10" s="2"/>
    </row>
    <row r="11" spans="1:12" x14ac:dyDescent="0.15">
      <c r="E11" s="2"/>
      <c r="F11" s="2"/>
      <c r="G11" s="2"/>
      <c r="L11" s="3"/>
    </row>
    <row r="12" spans="1:12" x14ac:dyDescent="0.15">
      <c r="E12" s="2"/>
      <c r="F12" s="2"/>
      <c r="G12" s="2"/>
    </row>
    <row r="13" spans="1:12" x14ac:dyDescent="0.15">
      <c r="E13" s="2"/>
      <c r="F13" s="2"/>
      <c r="G13" s="2"/>
    </row>
    <row r="14" spans="1:12" x14ac:dyDescent="0.15">
      <c r="E14" s="2"/>
      <c r="F14" s="2"/>
      <c r="G14" s="2"/>
    </row>
    <row r="15" spans="1:12" x14ac:dyDescent="0.15">
      <c r="E15" s="2"/>
      <c r="F15" s="2"/>
      <c r="G15" s="2"/>
    </row>
    <row r="16" spans="1:12" x14ac:dyDescent="0.15">
      <c r="E16" s="2"/>
      <c r="F16" s="2"/>
      <c r="G16" s="2"/>
    </row>
    <row r="17" spans="5:16" x14ac:dyDescent="0.15">
      <c r="E17" s="2"/>
    </row>
    <row r="18" spans="5:16" x14ac:dyDescent="0.15"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</row>
    <row r="20" spans="5:16" x14ac:dyDescent="0.15">
      <c r="E20" s="2"/>
    </row>
  </sheetData>
  <phoneticPr fontId="2" type="noConversion"/>
  <pageMargins left="0.7" right="0.7" top="0.75" bottom="0.75" header="0.3" footer="0.3"/>
  <pageSetup paperSize="8" orientation="landscape" horizontalDpi="1440" verticalDpi="144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F0"/>
  </sheetPr>
  <dimension ref="B2:P210"/>
  <sheetViews>
    <sheetView topLeftCell="A88" workbookViewId="0">
      <selection activeCell="P105" sqref="P105"/>
    </sheetView>
  </sheetViews>
  <sheetFormatPr defaultRowHeight="14.25" x14ac:dyDescent="0.15"/>
  <cols>
    <col min="1" max="1" width="9.125" style="1" customWidth="1"/>
    <col min="2" max="2" width="9" style="1" customWidth="1"/>
    <col min="3" max="3" width="8.125" style="1" customWidth="1"/>
    <col min="4" max="4" width="7.25" style="1" customWidth="1"/>
    <col min="5" max="10" width="9" style="1"/>
    <col min="11" max="11" width="13.5" style="1" customWidth="1"/>
    <col min="12" max="12" width="12.625" style="1" customWidth="1"/>
    <col min="13" max="13" width="10.75" style="1" customWidth="1"/>
    <col min="14" max="15" width="9" style="1"/>
    <col min="16" max="16" width="9.5" style="1" bestFit="1" customWidth="1"/>
    <col min="17" max="256" width="9" style="1"/>
    <col min="257" max="257" width="9.125" style="1" customWidth="1"/>
    <col min="258" max="258" width="9" style="1" customWidth="1"/>
    <col min="259" max="259" width="8.125" style="1" customWidth="1"/>
    <col min="260" max="260" width="7.25" style="1" customWidth="1"/>
    <col min="261" max="266" width="9" style="1"/>
    <col min="267" max="267" width="13.5" style="1" customWidth="1"/>
    <col min="268" max="268" width="12.625" style="1" customWidth="1"/>
    <col min="269" max="269" width="10.75" style="1" customWidth="1"/>
    <col min="270" max="271" width="9" style="1"/>
    <col min="272" max="272" width="9.5" style="1" bestFit="1" customWidth="1"/>
    <col min="273" max="512" width="9" style="1"/>
    <col min="513" max="513" width="9.125" style="1" customWidth="1"/>
    <col min="514" max="514" width="9" style="1" customWidth="1"/>
    <col min="515" max="515" width="8.125" style="1" customWidth="1"/>
    <col min="516" max="516" width="7.25" style="1" customWidth="1"/>
    <col min="517" max="522" width="9" style="1"/>
    <col min="523" max="523" width="13.5" style="1" customWidth="1"/>
    <col min="524" max="524" width="12.625" style="1" customWidth="1"/>
    <col min="525" max="525" width="10.75" style="1" customWidth="1"/>
    <col min="526" max="527" width="9" style="1"/>
    <col min="528" max="528" width="9.5" style="1" bestFit="1" customWidth="1"/>
    <col min="529" max="768" width="9" style="1"/>
    <col min="769" max="769" width="9.125" style="1" customWidth="1"/>
    <col min="770" max="770" width="9" style="1" customWidth="1"/>
    <col min="771" max="771" width="8.125" style="1" customWidth="1"/>
    <col min="772" max="772" width="7.25" style="1" customWidth="1"/>
    <col min="773" max="778" width="9" style="1"/>
    <col min="779" max="779" width="13.5" style="1" customWidth="1"/>
    <col min="780" max="780" width="12.625" style="1" customWidth="1"/>
    <col min="781" max="781" width="10.75" style="1" customWidth="1"/>
    <col min="782" max="783" width="9" style="1"/>
    <col min="784" max="784" width="9.5" style="1" bestFit="1" customWidth="1"/>
    <col min="785" max="1024" width="9" style="1"/>
    <col min="1025" max="1025" width="9.125" style="1" customWidth="1"/>
    <col min="1026" max="1026" width="9" style="1" customWidth="1"/>
    <col min="1027" max="1027" width="8.125" style="1" customWidth="1"/>
    <col min="1028" max="1028" width="7.25" style="1" customWidth="1"/>
    <col min="1029" max="1034" width="9" style="1"/>
    <col min="1035" max="1035" width="13.5" style="1" customWidth="1"/>
    <col min="1036" max="1036" width="12.625" style="1" customWidth="1"/>
    <col min="1037" max="1037" width="10.75" style="1" customWidth="1"/>
    <col min="1038" max="1039" width="9" style="1"/>
    <col min="1040" max="1040" width="9.5" style="1" bestFit="1" customWidth="1"/>
    <col min="1041" max="1280" width="9" style="1"/>
    <col min="1281" max="1281" width="9.125" style="1" customWidth="1"/>
    <col min="1282" max="1282" width="9" style="1" customWidth="1"/>
    <col min="1283" max="1283" width="8.125" style="1" customWidth="1"/>
    <col min="1284" max="1284" width="7.25" style="1" customWidth="1"/>
    <col min="1285" max="1290" width="9" style="1"/>
    <col min="1291" max="1291" width="13.5" style="1" customWidth="1"/>
    <col min="1292" max="1292" width="12.625" style="1" customWidth="1"/>
    <col min="1293" max="1293" width="10.75" style="1" customWidth="1"/>
    <col min="1294" max="1295" width="9" style="1"/>
    <col min="1296" max="1296" width="9.5" style="1" bestFit="1" customWidth="1"/>
    <col min="1297" max="1536" width="9" style="1"/>
    <col min="1537" max="1537" width="9.125" style="1" customWidth="1"/>
    <col min="1538" max="1538" width="9" style="1" customWidth="1"/>
    <col min="1539" max="1539" width="8.125" style="1" customWidth="1"/>
    <col min="1540" max="1540" width="7.25" style="1" customWidth="1"/>
    <col min="1541" max="1546" width="9" style="1"/>
    <col min="1547" max="1547" width="13.5" style="1" customWidth="1"/>
    <col min="1548" max="1548" width="12.625" style="1" customWidth="1"/>
    <col min="1549" max="1549" width="10.75" style="1" customWidth="1"/>
    <col min="1550" max="1551" width="9" style="1"/>
    <col min="1552" max="1552" width="9.5" style="1" bestFit="1" customWidth="1"/>
    <col min="1553" max="1792" width="9" style="1"/>
    <col min="1793" max="1793" width="9.125" style="1" customWidth="1"/>
    <col min="1794" max="1794" width="9" style="1" customWidth="1"/>
    <col min="1795" max="1795" width="8.125" style="1" customWidth="1"/>
    <col min="1796" max="1796" width="7.25" style="1" customWidth="1"/>
    <col min="1797" max="1802" width="9" style="1"/>
    <col min="1803" max="1803" width="13.5" style="1" customWidth="1"/>
    <col min="1804" max="1804" width="12.625" style="1" customWidth="1"/>
    <col min="1805" max="1805" width="10.75" style="1" customWidth="1"/>
    <col min="1806" max="1807" width="9" style="1"/>
    <col min="1808" max="1808" width="9.5" style="1" bestFit="1" customWidth="1"/>
    <col min="1809" max="2048" width="9" style="1"/>
    <col min="2049" max="2049" width="9.125" style="1" customWidth="1"/>
    <col min="2050" max="2050" width="9" style="1" customWidth="1"/>
    <col min="2051" max="2051" width="8.125" style="1" customWidth="1"/>
    <col min="2052" max="2052" width="7.25" style="1" customWidth="1"/>
    <col min="2053" max="2058" width="9" style="1"/>
    <col min="2059" max="2059" width="13.5" style="1" customWidth="1"/>
    <col min="2060" max="2060" width="12.625" style="1" customWidth="1"/>
    <col min="2061" max="2061" width="10.75" style="1" customWidth="1"/>
    <col min="2062" max="2063" width="9" style="1"/>
    <col min="2064" max="2064" width="9.5" style="1" bestFit="1" customWidth="1"/>
    <col min="2065" max="2304" width="9" style="1"/>
    <col min="2305" max="2305" width="9.125" style="1" customWidth="1"/>
    <col min="2306" max="2306" width="9" style="1" customWidth="1"/>
    <col min="2307" max="2307" width="8.125" style="1" customWidth="1"/>
    <col min="2308" max="2308" width="7.25" style="1" customWidth="1"/>
    <col min="2309" max="2314" width="9" style="1"/>
    <col min="2315" max="2315" width="13.5" style="1" customWidth="1"/>
    <col min="2316" max="2316" width="12.625" style="1" customWidth="1"/>
    <col min="2317" max="2317" width="10.75" style="1" customWidth="1"/>
    <col min="2318" max="2319" width="9" style="1"/>
    <col min="2320" max="2320" width="9.5" style="1" bestFit="1" customWidth="1"/>
    <col min="2321" max="2560" width="9" style="1"/>
    <col min="2561" max="2561" width="9.125" style="1" customWidth="1"/>
    <col min="2562" max="2562" width="9" style="1" customWidth="1"/>
    <col min="2563" max="2563" width="8.125" style="1" customWidth="1"/>
    <col min="2564" max="2564" width="7.25" style="1" customWidth="1"/>
    <col min="2565" max="2570" width="9" style="1"/>
    <col min="2571" max="2571" width="13.5" style="1" customWidth="1"/>
    <col min="2572" max="2572" width="12.625" style="1" customWidth="1"/>
    <col min="2573" max="2573" width="10.75" style="1" customWidth="1"/>
    <col min="2574" max="2575" width="9" style="1"/>
    <col min="2576" max="2576" width="9.5" style="1" bestFit="1" customWidth="1"/>
    <col min="2577" max="2816" width="9" style="1"/>
    <col min="2817" max="2817" width="9.125" style="1" customWidth="1"/>
    <col min="2818" max="2818" width="9" style="1" customWidth="1"/>
    <col min="2819" max="2819" width="8.125" style="1" customWidth="1"/>
    <col min="2820" max="2820" width="7.25" style="1" customWidth="1"/>
    <col min="2821" max="2826" width="9" style="1"/>
    <col min="2827" max="2827" width="13.5" style="1" customWidth="1"/>
    <col min="2828" max="2828" width="12.625" style="1" customWidth="1"/>
    <col min="2829" max="2829" width="10.75" style="1" customWidth="1"/>
    <col min="2830" max="2831" width="9" style="1"/>
    <col min="2832" max="2832" width="9.5" style="1" bestFit="1" customWidth="1"/>
    <col min="2833" max="3072" width="9" style="1"/>
    <col min="3073" max="3073" width="9.125" style="1" customWidth="1"/>
    <col min="3074" max="3074" width="9" style="1" customWidth="1"/>
    <col min="3075" max="3075" width="8.125" style="1" customWidth="1"/>
    <col min="3076" max="3076" width="7.25" style="1" customWidth="1"/>
    <col min="3077" max="3082" width="9" style="1"/>
    <col min="3083" max="3083" width="13.5" style="1" customWidth="1"/>
    <col min="3084" max="3084" width="12.625" style="1" customWidth="1"/>
    <col min="3085" max="3085" width="10.75" style="1" customWidth="1"/>
    <col min="3086" max="3087" width="9" style="1"/>
    <col min="3088" max="3088" width="9.5" style="1" bestFit="1" customWidth="1"/>
    <col min="3089" max="3328" width="9" style="1"/>
    <col min="3329" max="3329" width="9.125" style="1" customWidth="1"/>
    <col min="3330" max="3330" width="9" style="1" customWidth="1"/>
    <col min="3331" max="3331" width="8.125" style="1" customWidth="1"/>
    <col min="3332" max="3332" width="7.25" style="1" customWidth="1"/>
    <col min="3333" max="3338" width="9" style="1"/>
    <col min="3339" max="3339" width="13.5" style="1" customWidth="1"/>
    <col min="3340" max="3340" width="12.625" style="1" customWidth="1"/>
    <col min="3341" max="3341" width="10.75" style="1" customWidth="1"/>
    <col min="3342" max="3343" width="9" style="1"/>
    <col min="3344" max="3344" width="9.5" style="1" bestFit="1" customWidth="1"/>
    <col min="3345" max="3584" width="9" style="1"/>
    <col min="3585" max="3585" width="9.125" style="1" customWidth="1"/>
    <col min="3586" max="3586" width="9" style="1" customWidth="1"/>
    <col min="3587" max="3587" width="8.125" style="1" customWidth="1"/>
    <col min="3588" max="3588" width="7.25" style="1" customWidth="1"/>
    <col min="3589" max="3594" width="9" style="1"/>
    <col min="3595" max="3595" width="13.5" style="1" customWidth="1"/>
    <col min="3596" max="3596" width="12.625" style="1" customWidth="1"/>
    <col min="3597" max="3597" width="10.75" style="1" customWidth="1"/>
    <col min="3598" max="3599" width="9" style="1"/>
    <col min="3600" max="3600" width="9.5" style="1" bestFit="1" customWidth="1"/>
    <col min="3601" max="3840" width="9" style="1"/>
    <col min="3841" max="3841" width="9.125" style="1" customWidth="1"/>
    <col min="3842" max="3842" width="9" style="1" customWidth="1"/>
    <col min="3843" max="3843" width="8.125" style="1" customWidth="1"/>
    <col min="3844" max="3844" width="7.25" style="1" customWidth="1"/>
    <col min="3845" max="3850" width="9" style="1"/>
    <col min="3851" max="3851" width="13.5" style="1" customWidth="1"/>
    <col min="3852" max="3852" width="12.625" style="1" customWidth="1"/>
    <col min="3853" max="3853" width="10.75" style="1" customWidth="1"/>
    <col min="3854" max="3855" width="9" style="1"/>
    <col min="3856" max="3856" width="9.5" style="1" bestFit="1" customWidth="1"/>
    <col min="3857" max="4096" width="9" style="1"/>
    <col min="4097" max="4097" width="9.125" style="1" customWidth="1"/>
    <col min="4098" max="4098" width="9" style="1" customWidth="1"/>
    <col min="4099" max="4099" width="8.125" style="1" customWidth="1"/>
    <col min="4100" max="4100" width="7.25" style="1" customWidth="1"/>
    <col min="4101" max="4106" width="9" style="1"/>
    <col min="4107" max="4107" width="13.5" style="1" customWidth="1"/>
    <col min="4108" max="4108" width="12.625" style="1" customWidth="1"/>
    <col min="4109" max="4109" width="10.75" style="1" customWidth="1"/>
    <col min="4110" max="4111" width="9" style="1"/>
    <col min="4112" max="4112" width="9.5" style="1" bestFit="1" customWidth="1"/>
    <col min="4113" max="4352" width="9" style="1"/>
    <col min="4353" max="4353" width="9.125" style="1" customWidth="1"/>
    <col min="4354" max="4354" width="9" style="1" customWidth="1"/>
    <col min="4355" max="4355" width="8.125" style="1" customWidth="1"/>
    <col min="4356" max="4356" width="7.25" style="1" customWidth="1"/>
    <col min="4357" max="4362" width="9" style="1"/>
    <col min="4363" max="4363" width="13.5" style="1" customWidth="1"/>
    <col min="4364" max="4364" width="12.625" style="1" customWidth="1"/>
    <col min="4365" max="4365" width="10.75" style="1" customWidth="1"/>
    <col min="4366" max="4367" width="9" style="1"/>
    <col min="4368" max="4368" width="9.5" style="1" bestFit="1" customWidth="1"/>
    <col min="4369" max="4608" width="9" style="1"/>
    <col min="4609" max="4609" width="9.125" style="1" customWidth="1"/>
    <col min="4610" max="4610" width="9" style="1" customWidth="1"/>
    <col min="4611" max="4611" width="8.125" style="1" customWidth="1"/>
    <col min="4612" max="4612" width="7.25" style="1" customWidth="1"/>
    <col min="4613" max="4618" width="9" style="1"/>
    <col min="4619" max="4619" width="13.5" style="1" customWidth="1"/>
    <col min="4620" max="4620" width="12.625" style="1" customWidth="1"/>
    <col min="4621" max="4621" width="10.75" style="1" customWidth="1"/>
    <col min="4622" max="4623" width="9" style="1"/>
    <col min="4624" max="4624" width="9.5" style="1" bestFit="1" customWidth="1"/>
    <col min="4625" max="4864" width="9" style="1"/>
    <col min="4865" max="4865" width="9.125" style="1" customWidth="1"/>
    <col min="4866" max="4866" width="9" style="1" customWidth="1"/>
    <col min="4867" max="4867" width="8.125" style="1" customWidth="1"/>
    <col min="4868" max="4868" width="7.25" style="1" customWidth="1"/>
    <col min="4869" max="4874" width="9" style="1"/>
    <col min="4875" max="4875" width="13.5" style="1" customWidth="1"/>
    <col min="4876" max="4876" width="12.625" style="1" customWidth="1"/>
    <col min="4877" max="4877" width="10.75" style="1" customWidth="1"/>
    <col min="4878" max="4879" width="9" style="1"/>
    <col min="4880" max="4880" width="9.5" style="1" bestFit="1" customWidth="1"/>
    <col min="4881" max="5120" width="9" style="1"/>
    <col min="5121" max="5121" width="9.125" style="1" customWidth="1"/>
    <col min="5122" max="5122" width="9" style="1" customWidth="1"/>
    <col min="5123" max="5123" width="8.125" style="1" customWidth="1"/>
    <col min="5124" max="5124" width="7.25" style="1" customWidth="1"/>
    <col min="5125" max="5130" width="9" style="1"/>
    <col min="5131" max="5131" width="13.5" style="1" customWidth="1"/>
    <col min="5132" max="5132" width="12.625" style="1" customWidth="1"/>
    <col min="5133" max="5133" width="10.75" style="1" customWidth="1"/>
    <col min="5134" max="5135" width="9" style="1"/>
    <col min="5136" max="5136" width="9.5" style="1" bestFit="1" customWidth="1"/>
    <col min="5137" max="5376" width="9" style="1"/>
    <col min="5377" max="5377" width="9.125" style="1" customWidth="1"/>
    <col min="5378" max="5378" width="9" style="1" customWidth="1"/>
    <col min="5379" max="5379" width="8.125" style="1" customWidth="1"/>
    <col min="5380" max="5380" width="7.25" style="1" customWidth="1"/>
    <col min="5381" max="5386" width="9" style="1"/>
    <col min="5387" max="5387" width="13.5" style="1" customWidth="1"/>
    <col min="5388" max="5388" width="12.625" style="1" customWidth="1"/>
    <col min="5389" max="5389" width="10.75" style="1" customWidth="1"/>
    <col min="5390" max="5391" width="9" style="1"/>
    <col min="5392" max="5392" width="9.5" style="1" bestFit="1" customWidth="1"/>
    <col min="5393" max="5632" width="9" style="1"/>
    <col min="5633" max="5633" width="9.125" style="1" customWidth="1"/>
    <col min="5634" max="5634" width="9" style="1" customWidth="1"/>
    <col min="5635" max="5635" width="8.125" style="1" customWidth="1"/>
    <col min="5636" max="5636" width="7.25" style="1" customWidth="1"/>
    <col min="5637" max="5642" width="9" style="1"/>
    <col min="5643" max="5643" width="13.5" style="1" customWidth="1"/>
    <col min="5644" max="5644" width="12.625" style="1" customWidth="1"/>
    <col min="5645" max="5645" width="10.75" style="1" customWidth="1"/>
    <col min="5646" max="5647" width="9" style="1"/>
    <col min="5648" max="5648" width="9.5" style="1" bestFit="1" customWidth="1"/>
    <col min="5649" max="5888" width="9" style="1"/>
    <col min="5889" max="5889" width="9.125" style="1" customWidth="1"/>
    <col min="5890" max="5890" width="9" style="1" customWidth="1"/>
    <col min="5891" max="5891" width="8.125" style="1" customWidth="1"/>
    <col min="5892" max="5892" width="7.25" style="1" customWidth="1"/>
    <col min="5893" max="5898" width="9" style="1"/>
    <col min="5899" max="5899" width="13.5" style="1" customWidth="1"/>
    <col min="5900" max="5900" width="12.625" style="1" customWidth="1"/>
    <col min="5901" max="5901" width="10.75" style="1" customWidth="1"/>
    <col min="5902" max="5903" width="9" style="1"/>
    <col min="5904" max="5904" width="9.5" style="1" bestFit="1" customWidth="1"/>
    <col min="5905" max="6144" width="9" style="1"/>
    <col min="6145" max="6145" width="9.125" style="1" customWidth="1"/>
    <col min="6146" max="6146" width="9" style="1" customWidth="1"/>
    <col min="6147" max="6147" width="8.125" style="1" customWidth="1"/>
    <col min="6148" max="6148" width="7.25" style="1" customWidth="1"/>
    <col min="6149" max="6154" width="9" style="1"/>
    <col min="6155" max="6155" width="13.5" style="1" customWidth="1"/>
    <col min="6156" max="6156" width="12.625" style="1" customWidth="1"/>
    <col min="6157" max="6157" width="10.75" style="1" customWidth="1"/>
    <col min="6158" max="6159" width="9" style="1"/>
    <col min="6160" max="6160" width="9.5" style="1" bestFit="1" customWidth="1"/>
    <col min="6161" max="6400" width="9" style="1"/>
    <col min="6401" max="6401" width="9.125" style="1" customWidth="1"/>
    <col min="6402" max="6402" width="9" style="1" customWidth="1"/>
    <col min="6403" max="6403" width="8.125" style="1" customWidth="1"/>
    <col min="6404" max="6404" width="7.25" style="1" customWidth="1"/>
    <col min="6405" max="6410" width="9" style="1"/>
    <col min="6411" max="6411" width="13.5" style="1" customWidth="1"/>
    <col min="6412" max="6412" width="12.625" style="1" customWidth="1"/>
    <col min="6413" max="6413" width="10.75" style="1" customWidth="1"/>
    <col min="6414" max="6415" width="9" style="1"/>
    <col min="6416" max="6416" width="9.5" style="1" bestFit="1" customWidth="1"/>
    <col min="6417" max="6656" width="9" style="1"/>
    <col min="6657" max="6657" width="9.125" style="1" customWidth="1"/>
    <col min="6658" max="6658" width="9" style="1" customWidth="1"/>
    <col min="6659" max="6659" width="8.125" style="1" customWidth="1"/>
    <col min="6660" max="6660" width="7.25" style="1" customWidth="1"/>
    <col min="6661" max="6666" width="9" style="1"/>
    <col min="6667" max="6667" width="13.5" style="1" customWidth="1"/>
    <col min="6668" max="6668" width="12.625" style="1" customWidth="1"/>
    <col min="6669" max="6669" width="10.75" style="1" customWidth="1"/>
    <col min="6670" max="6671" width="9" style="1"/>
    <col min="6672" max="6672" width="9.5" style="1" bestFit="1" customWidth="1"/>
    <col min="6673" max="6912" width="9" style="1"/>
    <col min="6913" max="6913" width="9.125" style="1" customWidth="1"/>
    <col min="6914" max="6914" width="9" style="1" customWidth="1"/>
    <col min="6915" max="6915" width="8.125" style="1" customWidth="1"/>
    <col min="6916" max="6916" width="7.25" style="1" customWidth="1"/>
    <col min="6917" max="6922" width="9" style="1"/>
    <col min="6923" max="6923" width="13.5" style="1" customWidth="1"/>
    <col min="6924" max="6924" width="12.625" style="1" customWidth="1"/>
    <col min="6925" max="6925" width="10.75" style="1" customWidth="1"/>
    <col min="6926" max="6927" width="9" style="1"/>
    <col min="6928" max="6928" width="9.5" style="1" bestFit="1" customWidth="1"/>
    <col min="6929" max="7168" width="9" style="1"/>
    <col min="7169" max="7169" width="9.125" style="1" customWidth="1"/>
    <col min="7170" max="7170" width="9" style="1" customWidth="1"/>
    <col min="7171" max="7171" width="8.125" style="1" customWidth="1"/>
    <col min="7172" max="7172" width="7.25" style="1" customWidth="1"/>
    <col min="7173" max="7178" width="9" style="1"/>
    <col min="7179" max="7179" width="13.5" style="1" customWidth="1"/>
    <col min="7180" max="7180" width="12.625" style="1" customWidth="1"/>
    <col min="7181" max="7181" width="10.75" style="1" customWidth="1"/>
    <col min="7182" max="7183" width="9" style="1"/>
    <col min="7184" max="7184" width="9.5" style="1" bestFit="1" customWidth="1"/>
    <col min="7185" max="7424" width="9" style="1"/>
    <col min="7425" max="7425" width="9.125" style="1" customWidth="1"/>
    <col min="7426" max="7426" width="9" style="1" customWidth="1"/>
    <col min="7427" max="7427" width="8.125" style="1" customWidth="1"/>
    <col min="7428" max="7428" width="7.25" style="1" customWidth="1"/>
    <col min="7429" max="7434" width="9" style="1"/>
    <col min="7435" max="7435" width="13.5" style="1" customWidth="1"/>
    <col min="7436" max="7436" width="12.625" style="1" customWidth="1"/>
    <col min="7437" max="7437" width="10.75" style="1" customWidth="1"/>
    <col min="7438" max="7439" width="9" style="1"/>
    <col min="7440" max="7440" width="9.5" style="1" bestFit="1" customWidth="1"/>
    <col min="7441" max="7680" width="9" style="1"/>
    <col min="7681" max="7681" width="9.125" style="1" customWidth="1"/>
    <col min="7682" max="7682" width="9" style="1" customWidth="1"/>
    <col min="7683" max="7683" width="8.125" style="1" customWidth="1"/>
    <col min="7684" max="7684" width="7.25" style="1" customWidth="1"/>
    <col min="7685" max="7690" width="9" style="1"/>
    <col min="7691" max="7691" width="13.5" style="1" customWidth="1"/>
    <col min="7692" max="7692" width="12.625" style="1" customWidth="1"/>
    <col min="7693" max="7693" width="10.75" style="1" customWidth="1"/>
    <col min="7694" max="7695" width="9" style="1"/>
    <col min="7696" max="7696" width="9.5" style="1" bestFit="1" customWidth="1"/>
    <col min="7697" max="7936" width="9" style="1"/>
    <col min="7937" max="7937" width="9.125" style="1" customWidth="1"/>
    <col min="7938" max="7938" width="9" style="1" customWidth="1"/>
    <col min="7939" max="7939" width="8.125" style="1" customWidth="1"/>
    <col min="7940" max="7940" width="7.25" style="1" customWidth="1"/>
    <col min="7941" max="7946" width="9" style="1"/>
    <col min="7947" max="7947" width="13.5" style="1" customWidth="1"/>
    <col min="7948" max="7948" width="12.625" style="1" customWidth="1"/>
    <col min="7949" max="7949" width="10.75" style="1" customWidth="1"/>
    <col min="7950" max="7951" width="9" style="1"/>
    <col min="7952" max="7952" width="9.5" style="1" bestFit="1" customWidth="1"/>
    <col min="7953" max="8192" width="9" style="1"/>
    <col min="8193" max="8193" width="9.125" style="1" customWidth="1"/>
    <col min="8194" max="8194" width="9" style="1" customWidth="1"/>
    <col min="8195" max="8195" width="8.125" style="1" customWidth="1"/>
    <col min="8196" max="8196" width="7.25" style="1" customWidth="1"/>
    <col min="8197" max="8202" width="9" style="1"/>
    <col min="8203" max="8203" width="13.5" style="1" customWidth="1"/>
    <col min="8204" max="8204" width="12.625" style="1" customWidth="1"/>
    <col min="8205" max="8205" width="10.75" style="1" customWidth="1"/>
    <col min="8206" max="8207" width="9" style="1"/>
    <col min="8208" max="8208" width="9.5" style="1" bestFit="1" customWidth="1"/>
    <col min="8209" max="8448" width="9" style="1"/>
    <col min="8449" max="8449" width="9.125" style="1" customWidth="1"/>
    <col min="8450" max="8450" width="9" style="1" customWidth="1"/>
    <col min="8451" max="8451" width="8.125" style="1" customWidth="1"/>
    <col min="8452" max="8452" width="7.25" style="1" customWidth="1"/>
    <col min="8453" max="8458" width="9" style="1"/>
    <col min="8459" max="8459" width="13.5" style="1" customWidth="1"/>
    <col min="8460" max="8460" width="12.625" style="1" customWidth="1"/>
    <col min="8461" max="8461" width="10.75" style="1" customWidth="1"/>
    <col min="8462" max="8463" width="9" style="1"/>
    <col min="8464" max="8464" width="9.5" style="1" bestFit="1" customWidth="1"/>
    <col min="8465" max="8704" width="9" style="1"/>
    <col min="8705" max="8705" width="9.125" style="1" customWidth="1"/>
    <col min="8706" max="8706" width="9" style="1" customWidth="1"/>
    <col min="8707" max="8707" width="8.125" style="1" customWidth="1"/>
    <col min="8708" max="8708" width="7.25" style="1" customWidth="1"/>
    <col min="8709" max="8714" width="9" style="1"/>
    <col min="8715" max="8715" width="13.5" style="1" customWidth="1"/>
    <col min="8716" max="8716" width="12.625" style="1" customWidth="1"/>
    <col min="8717" max="8717" width="10.75" style="1" customWidth="1"/>
    <col min="8718" max="8719" width="9" style="1"/>
    <col min="8720" max="8720" width="9.5" style="1" bestFit="1" customWidth="1"/>
    <col min="8721" max="8960" width="9" style="1"/>
    <col min="8961" max="8961" width="9.125" style="1" customWidth="1"/>
    <col min="8962" max="8962" width="9" style="1" customWidth="1"/>
    <col min="8963" max="8963" width="8.125" style="1" customWidth="1"/>
    <col min="8964" max="8964" width="7.25" style="1" customWidth="1"/>
    <col min="8965" max="8970" width="9" style="1"/>
    <col min="8971" max="8971" width="13.5" style="1" customWidth="1"/>
    <col min="8972" max="8972" width="12.625" style="1" customWidth="1"/>
    <col min="8973" max="8973" width="10.75" style="1" customWidth="1"/>
    <col min="8974" max="8975" width="9" style="1"/>
    <col min="8976" max="8976" width="9.5" style="1" bestFit="1" customWidth="1"/>
    <col min="8977" max="9216" width="9" style="1"/>
    <col min="9217" max="9217" width="9.125" style="1" customWidth="1"/>
    <col min="9218" max="9218" width="9" style="1" customWidth="1"/>
    <col min="9219" max="9219" width="8.125" style="1" customWidth="1"/>
    <col min="9220" max="9220" width="7.25" style="1" customWidth="1"/>
    <col min="9221" max="9226" width="9" style="1"/>
    <col min="9227" max="9227" width="13.5" style="1" customWidth="1"/>
    <col min="9228" max="9228" width="12.625" style="1" customWidth="1"/>
    <col min="9229" max="9229" width="10.75" style="1" customWidth="1"/>
    <col min="9230" max="9231" width="9" style="1"/>
    <col min="9232" max="9232" width="9.5" style="1" bestFit="1" customWidth="1"/>
    <col min="9233" max="9472" width="9" style="1"/>
    <col min="9473" max="9473" width="9.125" style="1" customWidth="1"/>
    <col min="9474" max="9474" width="9" style="1" customWidth="1"/>
    <col min="9475" max="9475" width="8.125" style="1" customWidth="1"/>
    <col min="9476" max="9476" width="7.25" style="1" customWidth="1"/>
    <col min="9477" max="9482" width="9" style="1"/>
    <col min="9483" max="9483" width="13.5" style="1" customWidth="1"/>
    <col min="9484" max="9484" width="12.625" style="1" customWidth="1"/>
    <col min="9485" max="9485" width="10.75" style="1" customWidth="1"/>
    <col min="9486" max="9487" width="9" style="1"/>
    <col min="9488" max="9488" width="9.5" style="1" bestFit="1" customWidth="1"/>
    <col min="9489" max="9728" width="9" style="1"/>
    <col min="9729" max="9729" width="9.125" style="1" customWidth="1"/>
    <col min="9730" max="9730" width="9" style="1" customWidth="1"/>
    <col min="9731" max="9731" width="8.125" style="1" customWidth="1"/>
    <col min="9732" max="9732" width="7.25" style="1" customWidth="1"/>
    <col min="9733" max="9738" width="9" style="1"/>
    <col min="9739" max="9739" width="13.5" style="1" customWidth="1"/>
    <col min="9740" max="9740" width="12.625" style="1" customWidth="1"/>
    <col min="9741" max="9741" width="10.75" style="1" customWidth="1"/>
    <col min="9742" max="9743" width="9" style="1"/>
    <col min="9744" max="9744" width="9.5" style="1" bestFit="1" customWidth="1"/>
    <col min="9745" max="9984" width="9" style="1"/>
    <col min="9985" max="9985" width="9.125" style="1" customWidth="1"/>
    <col min="9986" max="9986" width="9" style="1" customWidth="1"/>
    <col min="9987" max="9987" width="8.125" style="1" customWidth="1"/>
    <col min="9988" max="9988" width="7.25" style="1" customWidth="1"/>
    <col min="9989" max="9994" width="9" style="1"/>
    <col min="9995" max="9995" width="13.5" style="1" customWidth="1"/>
    <col min="9996" max="9996" width="12.625" style="1" customWidth="1"/>
    <col min="9997" max="9997" width="10.75" style="1" customWidth="1"/>
    <col min="9998" max="9999" width="9" style="1"/>
    <col min="10000" max="10000" width="9.5" style="1" bestFit="1" customWidth="1"/>
    <col min="10001" max="10240" width="9" style="1"/>
    <col min="10241" max="10241" width="9.125" style="1" customWidth="1"/>
    <col min="10242" max="10242" width="9" style="1" customWidth="1"/>
    <col min="10243" max="10243" width="8.125" style="1" customWidth="1"/>
    <col min="10244" max="10244" width="7.25" style="1" customWidth="1"/>
    <col min="10245" max="10250" width="9" style="1"/>
    <col min="10251" max="10251" width="13.5" style="1" customWidth="1"/>
    <col min="10252" max="10252" width="12.625" style="1" customWidth="1"/>
    <col min="10253" max="10253" width="10.75" style="1" customWidth="1"/>
    <col min="10254" max="10255" width="9" style="1"/>
    <col min="10256" max="10256" width="9.5" style="1" bestFit="1" customWidth="1"/>
    <col min="10257" max="10496" width="9" style="1"/>
    <col min="10497" max="10497" width="9.125" style="1" customWidth="1"/>
    <col min="10498" max="10498" width="9" style="1" customWidth="1"/>
    <col min="10499" max="10499" width="8.125" style="1" customWidth="1"/>
    <col min="10500" max="10500" width="7.25" style="1" customWidth="1"/>
    <col min="10501" max="10506" width="9" style="1"/>
    <col min="10507" max="10507" width="13.5" style="1" customWidth="1"/>
    <col min="10508" max="10508" width="12.625" style="1" customWidth="1"/>
    <col min="10509" max="10509" width="10.75" style="1" customWidth="1"/>
    <col min="10510" max="10511" width="9" style="1"/>
    <col min="10512" max="10512" width="9.5" style="1" bestFit="1" customWidth="1"/>
    <col min="10513" max="10752" width="9" style="1"/>
    <col min="10753" max="10753" width="9.125" style="1" customWidth="1"/>
    <col min="10754" max="10754" width="9" style="1" customWidth="1"/>
    <col min="10755" max="10755" width="8.125" style="1" customWidth="1"/>
    <col min="10756" max="10756" width="7.25" style="1" customWidth="1"/>
    <col min="10757" max="10762" width="9" style="1"/>
    <col min="10763" max="10763" width="13.5" style="1" customWidth="1"/>
    <col min="10764" max="10764" width="12.625" style="1" customWidth="1"/>
    <col min="10765" max="10765" width="10.75" style="1" customWidth="1"/>
    <col min="10766" max="10767" width="9" style="1"/>
    <col min="10768" max="10768" width="9.5" style="1" bestFit="1" customWidth="1"/>
    <col min="10769" max="11008" width="9" style="1"/>
    <col min="11009" max="11009" width="9.125" style="1" customWidth="1"/>
    <col min="11010" max="11010" width="9" style="1" customWidth="1"/>
    <col min="11011" max="11011" width="8.125" style="1" customWidth="1"/>
    <col min="11012" max="11012" width="7.25" style="1" customWidth="1"/>
    <col min="11013" max="11018" width="9" style="1"/>
    <col min="11019" max="11019" width="13.5" style="1" customWidth="1"/>
    <col min="11020" max="11020" width="12.625" style="1" customWidth="1"/>
    <col min="11021" max="11021" width="10.75" style="1" customWidth="1"/>
    <col min="11022" max="11023" width="9" style="1"/>
    <col min="11024" max="11024" width="9.5" style="1" bestFit="1" customWidth="1"/>
    <col min="11025" max="11264" width="9" style="1"/>
    <col min="11265" max="11265" width="9.125" style="1" customWidth="1"/>
    <col min="11266" max="11266" width="9" style="1" customWidth="1"/>
    <col min="11267" max="11267" width="8.125" style="1" customWidth="1"/>
    <col min="11268" max="11268" width="7.25" style="1" customWidth="1"/>
    <col min="11269" max="11274" width="9" style="1"/>
    <col min="11275" max="11275" width="13.5" style="1" customWidth="1"/>
    <col min="11276" max="11276" width="12.625" style="1" customWidth="1"/>
    <col min="11277" max="11277" width="10.75" style="1" customWidth="1"/>
    <col min="11278" max="11279" width="9" style="1"/>
    <col min="11280" max="11280" width="9.5" style="1" bestFit="1" customWidth="1"/>
    <col min="11281" max="11520" width="9" style="1"/>
    <col min="11521" max="11521" width="9.125" style="1" customWidth="1"/>
    <col min="11522" max="11522" width="9" style="1" customWidth="1"/>
    <col min="11523" max="11523" width="8.125" style="1" customWidth="1"/>
    <col min="11524" max="11524" width="7.25" style="1" customWidth="1"/>
    <col min="11525" max="11530" width="9" style="1"/>
    <col min="11531" max="11531" width="13.5" style="1" customWidth="1"/>
    <col min="11532" max="11532" width="12.625" style="1" customWidth="1"/>
    <col min="11533" max="11533" width="10.75" style="1" customWidth="1"/>
    <col min="11534" max="11535" width="9" style="1"/>
    <col min="11536" max="11536" width="9.5" style="1" bestFit="1" customWidth="1"/>
    <col min="11537" max="11776" width="9" style="1"/>
    <col min="11777" max="11777" width="9.125" style="1" customWidth="1"/>
    <col min="11778" max="11778" width="9" style="1" customWidth="1"/>
    <col min="11779" max="11779" width="8.125" style="1" customWidth="1"/>
    <col min="11780" max="11780" width="7.25" style="1" customWidth="1"/>
    <col min="11781" max="11786" width="9" style="1"/>
    <col min="11787" max="11787" width="13.5" style="1" customWidth="1"/>
    <col min="11788" max="11788" width="12.625" style="1" customWidth="1"/>
    <col min="11789" max="11789" width="10.75" style="1" customWidth="1"/>
    <col min="11790" max="11791" width="9" style="1"/>
    <col min="11792" max="11792" width="9.5" style="1" bestFit="1" customWidth="1"/>
    <col min="11793" max="12032" width="9" style="1"/>
    <col min="12033" max="12033" width="9.125" style="1" customWidth="1"/>
    <col min="12034" max="12034" width="9" style="1" customWidth="1"/>
    <col min="12035" max="12035" width="8.125" style="1" customWidth="1"/>
    <col min="12036" max="12036" width="7.25" style="1" customWidth="1"/>
    <col min="12037" max="12042" width="9" style="1"/>
    <col min="12043" max="12043" width="13.5" style="1" customWidth="1"/>
    <col min="12044" max="12044" width="12.625" style="1" customWidth="1"/>
    <col min="12045" max="12045" width="10.75" style="1" customWidth="1"/>
    <col min="12046" max="12047" width="9" style="1"/>
    <col min="12048" max="12048" width="9.5" style="1" bestFit="1" customWidth="1"/>
    <col min="12049" max="12288" width="9" style="1"/>
    <col min="12289" max="12289" width="9.125" style="1" customWidth="1"/>
    <col min="12290" max="12290" width="9" style="1" customWidth="1"/>
    <col min="12291" max="12291" width="8.125" style="1" customWidth="1"/>
    <col min="12292" max="12292" width="7.25" style="1" customWidth="1"/>
    <col min="12293" max="12298" width="9" style="1"/>
    <col min="12299" max="12299" width="13.5" style="1" customWidth="1"/>
    <col min="12300" max="12300" width="12.625" style="1" customWidth="1"/>
    <col min="12301" max="12301" width="10.75" style="1" customWidth="1"/>
    <col min="12302" max="12303" width="9" style="1"/>
    <col min="12304" max="12304" width="9.5" style="1" bestFit="1" customWidth="1"/>
    <col min="12305" max="12544" width="9" style="1"/>
    <col min="12545" max="12545" width="9.125" style="1" customWidth="1"/>
    <col min="12546" max="12546" width="9" style="1" customWidth="1"/>
    <col min="12547" max="12547" width="8.125" style="1" customWidth="1"/>
    <col min="12548" max="12548" width="7.25" style="1" customWidth="1"/>
    <col min="12549" max="12554" width="9" style="1"/>
    <col min="12555" max="12555" width="13.5" style="1" customWidth="1"/>
    <col min="12556" max="12556" width="12.625" style="1" customWidth="1"/>
    <col min="12557" max="12557" width="10.75" style="1" customWidth="1"/>
    <col min="12558" max="12559" width="9" style="1"/>
    <col min="12560" max="12560" width="9.5" style="1" bestFit="1" customWidth="1"/>
    <col min="12561" max="12800" width="9" style="1"/>
    <col min="12801" max="12801" width="9.125" style="1" customWidth="1"/>
    <col min="12802" max="12802" width="9" style="1" customWidth="1"/>
    <col min="12803" max="12803" width="8.125" style="1" customWidth="1"/>
    <col min="12804" max="12804" width="7.25" style="1" customWidth="1"/>
    <col min="12805" max="12810" width="9" style="1"/>
    <col min="12811" max="12811" width="13.5" style="1" customWidth="1"/>
    <col min="12812" max="12812" width="12.625" style="1" customWidth="1"/>
    <col min="12813" max="12813" width="10.75" style="1" customWidth="1"/>
    <col min="12814" max="12815" width="9" style="1"/>
    <col min="12816" max="12816" width="9.5" style="1" bestFit="1" customWidth="1"/>
    <col min="12817" max="13056" width="9" style="1"/>
    <col min="13057" max="13057" width="9.125" style="1" customWidth="1"/>
    <col min="13058" max="13058" width="9" style="1" customWidth="1"/>
    <col min="13059" max="13059" width="8.125" style="1" customWidth="1"/>
    <col min="13060" max="13060" width="7.25" style="1" customWidth="1"/>
    <col min="13061" max="13066" width="9" style="1"/>
    <col min="13067" max="13067" width="13.5" style="1" customWidth="1"/>
    <col min="13068" max="13068" width="12.625" style="1" customWidth="1"/>
    <col min="13069" max="13069" width="10.75" style="1" customWidth="1"/>
    <col min="13070" max="13071" width="9" style="1"/>
    <col min="13072" max="13072" width="9.5" style="1" bestFit="1" customWidth="1"/>
    <col min="13073" max="13312" width="9" style="1"/>
    <col min="13313" max="13313" width="9.125" style="1" customWidth="1"/>
    <col min="13314" max="13314" width="9" style="1" customWidth="1"/>
    <col min="13315" max="13315" width="8.125" style="1" customWidth="1"/>
    <col min="13316" max="13316" width="7.25" style="1" customWidth="1"/>
    <col min="13317" max="13322" width="9" style="1"/>
    <col min="13323" max="13323" width="13.5" style="1" customWidth="1"/>
    <col min="13324" max="13324" width="12.625" style="1" customWidth="1"/>
    <col min="13325" max="13325" width="10.75" style="1" customWidth="1"/>
    <col min="13326" max="13327" width="9" style="1"/>
    <col min="13328" max="13328" width="9.5" style="1" bestFit="1" customWidth="1"/>
    <col min="13329" max="13568" width="9" style="1"/>
    <col min="13569" max="13569" width="9.125" style="1" customWidth="1"/>
    <col min="13570" max="13570" width="9" style="1" customWidth="1"/>
    <col min="13571" max="13571" width="8.125" style="1" customWidth="1"/>
    <col min="13572" max="13572" width="7.25" style="1" customWidth="1"/>
    <col min="13573" max="13578" width="9" style="1"/>
    <col min="13579" max="13579" width="13.5" style="1" customWidth="1"/>
    <col min="13580" max="13580" width="12.625" style="1" customWidth="1"/>
    <col min="13581" max="13581" width="10.75" style="1" customWidth="1"/>
    <col min="13582" max="13583" width="9" style="1"/>
    <col min="13584" max="13584" width="9.5" style="1" bestFit="1" customWidth="1"/>
    <col min="13585" max="13824" width="9" style="1"/>
    <col min="13825" max="13825" width="9.125" style="1" customWidth="1"/>
    <col min="13826" max="13826" width="9" style="1" customWidth="1"/>
    <col min="13827" max="13827" width="8.125" style="1" customWidth="1"/>
    <col min="13828" max="13828" width="7.25" style="1" customWidth="1"/>
    <col min="13829" max="13834" width="9" style="1"/>
    <col min="13835" max="13835" width="13.5" style="1" customWidth="1"/>
    <col min="13836" max="13836" width="12.625" style="1" customWidth="1"/>
    <col min="13837" max="13837" width="10.75" style="1" customWidth="1"/>
    <col min="13838" max="13839" width="9" style="1"/>
    <col min="13840" max="13840" width="9.5" style="1" bestFit="1" customWidth="1"/>
    <col min="13841" max="14080" width="9" style="1"/>
    <col min="14081" max="14081" width="9.125" style="1" customWidth="1"/>
    <col min="14082" max="14082" width="9" style="1" customWidth="1"/>
    <col min="14083" max="14083" width="8.125" style="1" customWidth="1"/>
    <col min="14084" max="14084" width="7.25" style="1" customWidth="1"/>
    <col min="14085" max="14090" width="9" style="1"/>
    <col min="14091" max="14091" width="13.5" style="1" customWidth="1"/>
    <col min="14092" max="14092" width="12.625" style="1" customWidth="1"/>
    <col min="14093" max="14093" width="10.75" style="1" customWidth="1"/>
    <col min="14094" max="14095" width="9" style="1"/>
    <col min="14096" max="14096" width="9.5" style="1" bestFit="1" customWidth="1"/>
    <col min="14097" max="14336" width="9" style="1"/>
    <col min="14337" max="14337" width="9.125" style="1" customWidth="1"/>
    <col min="14338" max="14338" width="9" style="1" customWidth="1"/>
    <col min="14339" max="14339" width="8.125" style="1" customWidth="1"/>
    <col min="14340" max="14340" width="7.25" style="1" customWidth="1"/>
    <col min="14341" max="14346" width="9" style="1"/>
    <col min="14347" max="14347" width="13.5" style="1" customWidth="1"/>
    <col min="14348" max="14348" width="12.625" style="1" customWidth="1"/>
    <col min="14349" max="14349" width="10.75" style="1" customWidth="1"/>
    <col min="14350" max="14351" width="9" style="1"/>
    <col min="14352" max="14352" width="9.5" style="1" bestFit="1" customWidth="1"/>
    <col min="14353" max="14592" width="9" style="1"/>
    <col min="14593" max="14593" width="9.125" style="1" customWidth="1"/>
    <col min="14594" max="14594" width="9" style="1" customWidth="1"/>
    <col min="14595" max="14595" width="8.125" style="1" customWidth="1"/>
    <col min="14596" max="14596" width="7.25" style="1" customWidth="1"/>
    <col min="14597" max="14602" width="9" style="1"/>
    <col min="14603" max="14603" width="13.5" style="1" customWidth="1"/>
    <col min="14604" max="14604" width="12.625" style="1" customWidth="1"/>
    <col min="14605" max="14605" width="10.75" style="1" customWidth="1"/>
    <col min="14606" max="14607" width="9" style="1"/>
    <col min="14608" max="14608" width="9.5" style="1" bestFit="1" customWidth="1"/>
    <col min="14609" max="14848" width="9" style="1"/>
    <col min="14849" max="14849" width="9.125" style="1" customWidth="1"/>
    <col min="14850" max="14850" width="9" style="1" customWidth="1"/>
    <col min="14851" max="14851" width="8.125" style="1" customWidth="1"/>
    <col min="14852" max="14852" width="7.25" style="1" customWidth="1"/>
    <col min="14853" max="14858" width="9" style="1"/>
    <col min="14859" max="14859" width="13.5" style="1" customWidth="1"/>
    <col min="14860" max="14860" width="12.625" style="1" customWidth="1"/>
    <col min="14861" max="14861" width="10.75" style="1" customWidth="1"/>
    <col min="14862" max="14863" width="9" style="1"/>
    <col min="14864" max="14864" width="9.5" style="1" bestFit="1" customWidth="1"/>
    <col min="14865" max="15104" width="9" style="1"/>
    <col min="15105" max="15105" width="9.125" style="1" customWidth="1"/>
    <col min="15106" max="15106" width="9" style="1" customWidth="1"/>
    <col min="15107" max="15107" width="8.125" style="1" customWidth="1"/>
    <col min="15108" max="15108" width="7.25" style="1" customWidth="1"/>
    <col min="15109" max="15114" width="9" style="1"/>
    <col min="15115" max="15115" width="13.5" style="1" customWidth="1"/>
    <col min="15116" max="15116" width="12.625" style="1" customWidth="1"/>
    <col min="15117" max="15117" width="10.75" style="1" customWidth="1"/>
    <col min="15118" max="15119" width="9" style="1"/>
    <col min="15120" max="15120" width="9.5" style="1" bestFit="1" customWidth="1"/>
    <col min="15121" max="15360" width="9" style="1"/>
    <col min="15361" max="15361" width="9.125" style="1" customWidth="1"/>
    <col min="15362" max="15362" width="9" style="1" customWidth="1"/>
    <col min="15363" max="15363" width="8.125" style="1" customWidth="1"/>
    <col min="15364" max="15364" width="7.25" style="1" customWidth="1"/>
    <col min="15365" max="15370" width="9" style="1"/>
    <col min="15371" max="15371" width="13.5" style="1" customWidth="1"/>
    <col min="15372" max="15372" width="12.625" style="1" customWidth="1"/>
    <col min="15373" max="15373" width="10.75" style="1" customWidth="1"/>
    <col min="15374" max="15375" width="9" style="1"/>
    <col min="15376" max="15376" width="9.5" style="1" bestFit="1" customWidth="1"/>
    <col min="15377" max="15616" width="9" style="1"/>
    <col min="15617" max="15617" width="9.125" style="1" customWidth="1"/>
    <col min="15618" max="15618" width="9" style="1" customWidth="1"/>
    <col min="15619" max="15619" width="8.125" style="1" customWidth="1"/>
    <col min="15620" max="15620" width="7.25" style="1" customWidth="1"/>
    <col min="15621" max="15626" width="9" style="1"/>
    <col min="15627" max="15627" width="13.5" style="1" customWidth="1"/>
    <col min="15628" max="15628" width="12.625" style="1" customWidth="1"/>
    <col min="15629" max="15629" width="10.75" style="1" customWidth="1"/>
    <col min="15630" max="15631" width="9" style="1"/>
    <col min="15632" max="15632" width="9.5" style="1" bestFit="1" customWidth="1"/>
    <col min="15633" max="15872" width="9" style="1"/>
    <col min="15873" max="15873" width="9.125" style="1" customWidth="1"/>
    <col min="15874" max="15874" width="9" style="1" customWidth="1"/>
    <col min="15875" max="15875" width="8.125" style="1" customWidth="1"/>
    <col min="15876" max="15876" width="7.25" style="1" customWidth="1"/>
    <col min="15877" max="15882" width="9" style="1"/>
    <col min="15883" max="15883" width="13.5" style="1" customWidth="1"/>
    <col min="15884" max="15884" width="12.625" style="1" customWidth="1"/>
    <col min="15885" max="15885" width="10.75" style="1" customWidth="1"/>
    <col min="15886" max="15887" width="9" style="1"/>
    <col min="15888" max="15888" width="9.5" style="1" bestFit="1" customWidth="1"/>
    <col min="15889" max="16128" width="9" style="1"/>
    <col min="16129" max="16129" width="9.125" style="1" customWidth="1"/>
    <col min="16130" max="16130" width="9" style="1" customWidth="1"/>
    <col min="16131" max="16131" width="8.125" style="1" customWidth="1"/>
    <col min="16132" max="16132" width="7.25" style="1" customWidth="1"/>
    <col min="16133" max="16138" width="9" style="1"/>
    <col min="16139" max="16139" width="13.5" style="1" customWidth="1"/>
    <col min="16140" max="16140" width="12.625" style="1" customWidth="1"/>
    <col min="16141" max="16141" width="10.75" style="1" customWidth="1"/>
    <col min="16142" max="16143" width="9" style="1"/>
    <col min="16144" max="16144" width="9.5" style="1" bestFit="1" customWidth="1"/>
    <col min="16145" max="16384" width="9" style="1"/>
  </cols>
  <sheetData>
    <row r="2" spans="2:16" x14ac:dyDescent="0.15">
      <c r="D2" s="63" t="s">
        <v>8</v>
      </c>
      <c r="E2" s="63"/>
      <c r="F2" s="63"/>
      <c r="G2" s="63"/>
      <c r="H2" s="63"/>
    </row>
    <row r="3" spans="2:16" ht="15" thickBot="1" x14ac:dyDescent="0.2">
      <c r="O3" s="64" t="s">
        <v>9</v>
      </c>
      <c r="P3" s="64"/>
    </row>
    <row r="4" spans="2:16" x14ac:dyDescent="0.15">
      <c r="E4" s="4" t="s">
        <v>10</v>
      </c>
      <c r="F4" s="5" t="s">
        <v>11</v>
      </c>
      <c r="G4" s="6" t="s">
        <v>12</v>
      </c>
      <c r="H4" s="6" t="s">
        <v>13</v>
      </c>
      <c r="I4" s="7" t="s">
        <v>14</v>
      </c>
      <c r="J4" s="6" t="s">
        <v>15</v>
      </c>
      <c r="K4" s="6" t="s">
        <v>16</v>
      </c>
      <c r="L4" s="6" t="s">
        <v>17</v>
      </c>
      <c r="M4" s="8" t="s">
        <v>18</v>
      </c>
      <c r="O4" s="9" t="s">
        <v>19</v>
      </c>
      <c r="P4" s="10">
        <f>M7</f>
        <v>7.8421499999999993</v>
      </c>
    </row>
    <row r="5" spans="2:16" x14ac:dyDescent="0.15">
      <c r="D5" s="11">
        <f>INT(D6/10)+1</f>
        <v>25</v>
      </c>
      <c r="E5" s="12"/>
      <c r="F5" s="13">
        <v>1</v>
      </c>
      <c r="G5" s="14" t="s">
        <v>20</v>
      </c>
      <c r="H5" s="15">
        <f>E7+315.9</f>
        <v>759.9</v>
      </c>
      <c r="I5" s="15">
        <v>36</v>
      </c>
      <c r="J5" s="16">
        <f>H5*I5/100</f>
        <v>273.56399999999996</v>
      </c>
      <c r="K5" s="15">
        <v>3.85</v>
      </c>
      <c r="L5" s="17">
        <f>J5*K5</f>
        <v>1053.2213999999999</v>
      </c>
      <c r="M5" s="18"/>
      <c r="O5" s="19" t="s">
        <v>20</v>
      </c>
      <c r="P5" s="20">
        <f>L5+L8</f>
        <v>1086.4314999999999</v>
      </c>
    </row>
    <row r="6" spans="2:16" x14ac:dyDescent="0.15">
      <c r="B6" s="1">
        <f>3.14*143.2</f>
        <v>449.64799999999997</v>
      </c>
      <c r="D6" s="11">
        <f>E7-200</f>
        <v>244</v>
      </c>
      <c r="E6" s="12" t="s">
        <v>21</v>
      </c>
      <c r="F6" s="13">
        <v>2</v>
      </c>
      <c r="G6" s="14" t="s">
        <v>22</v>
      </c>
      <c r="H6" s="15">
        <f>B7*20+B8*D5+3*B6</f>
        <v>21588.107295591046</v>
      </c>
      <c r="I6" s="15">
        <v>1</v>
      </c>
      <c r="J6" s="16">
        <f t="shared" ref="J6:J14" si="0">H6*I6/100</f>
        <v>215.88107295591047</v>
      </c>
      <c r="K6" s="15">
        <v>0.61699999999999999</v>
      </c>
      <c r="L6" s="17">
        <f t="shared" ref="L6:L14" si="1">J6*K6</f>
        <v>133.19862201379675</v>
      </c>
      <c r="M6" s="21" t="s">
        <v>23</v>
      </c>
      <c r="O6" s="19" t="s">
        <v>22</v>
      </c>
      <c r="P6" s="20">
        <f>L6</f>
        <v>133.19862201379675</v>
      </c>
    </row>
    <row r="7" spans="2:16" ht="15" thickBot="1" x14ac:dyDescent="0.2">
      <c r="B7" s="1">
        <f>(B6*B6+10*10)^0.5</f>
        <v>449.75918434646775</v>
      </c>
      <c r="D7" s="11">
        <f>INT(E7/200)</f>
        <v>2</v>
      </c>
      <c r="E7" s="22">
        <v>444</v>
      </c>
      <c r="F7" s="13">
        <v>3</v>
      </c>
      <c r="G7" s="14" t="s">
        <v>24</v>
      </c>
      <c r="H7" s="15">
        <v>487.9</v>
      </c>
      <c r="I7" s="15">
        <v>14</v>
      </c>
      <c r="J7" s="16">
        <f t="shared" si="0"/>
        <v>68.305999999999997</v>
      </c>
      <c r="K7" s="15">
        <v>0.88800000000000001</v>
      </c>
      <c r="L7" s="17">
        <f t="shared" si="1"/>
        <v>60.655727999999996</v>
      </c>
      <c r="M7" s="23">
        <f>3.14*0.75*0.75*E7/100</f>
        <v>7.8421499999999993</v>
      </c>
      <c r="O7" s="24" t="s">
        <v>24</v>
      </c>
      <c r="P7" s="25">
        <f>L7</f>
        <v>60.655727999999996</v>
      </c>
    </row>
    <row r="8" spans="2:16" x14ac:dyDescent="0.15">
      <c r="B8" s="1">
        <f>(B6*B6+10*10)^0.5</f>
        <v>449.75918434646775</v>
      </c>
      <c r="C8" s="26">
        <f>(C9*C9+20*20)^0.5</f>
        <v>531.66431039143481</v>
      </c>
      <c r="E8" s="27"/>
      <c r="F8" s="13">
        <v>4</v>
      </c>
      <c r="G8" s="14" t="s">
        <v>20</v>
      </c>
      <c r="H8" s="15">
        <f>431.3</f>
        <v>431.3</v>
      </c>
      <c r="I8" s="15">
        <f>D7</f>
        <v>2</v>
      </c>
      <c r="J8" s="16">
        <f t="shared" si="0"/>
        <v>8.6259999999999994</v>
      </c>
      <c r="K8" s="15">
        <v>3.85</v>
      </c>
      <c r="L8" s="17">
        <f t="shared" si="1"/>
        <v>33.210099999999997</v>
      </c>
      <c r="M8" s="28"/>
      <c r="O8" s="29" t="s">
        <v>25</v>
      </c>
      <c r="P8" s="10">
        <f>M11</f>
        <v>14.115869999999999</v>
      </c>
    </row>
    <row r="9" spans="2:16" x14ac:dyDescent="0.15">
      <c r="B9" s="1">
        <f>180-6*2+1+0.2</f>
        <v>169.2</v>
      </c>
      <c r="C9" s="1">
        <f>3.14*B9</f>
        <v>531.28800000000001</v>
      </c>
      <c r="E9" s="30"/>
      <c r="F9" s="13">
        <v>5</v>
      </c>
      <c r="G9" s="14" t="s">
        <v>20</v>
      </c>
      <c r="H9" s="15">
        <f>E11-6+1.1</f>
        <v>550.1</v>
      </c>
      <c r="I9" s="15">
        <v>36</v>
      </c>
      <c r="J9" s="16">
        <f t="shared" si="0"/>
        <v>198.03600000000003</v>
      </c>
      <c r="K9" s="15">
        <v>3.85</v>
      </c>
      <c r="L9" s="17">
        <f t="shared" si="1"/>
        <v>762.43860000000018</v>
      </c>
      <c r="M9" s="31"/>
      <c r="O9" s="19" t="s">
        <v>20</v>
      </c>
      <c r="P9" s="20">
        <f>L9+L11+L14</f>
        <v>798.13965000000019</v>
      </c>
    </row>
    <row r="10" spans="2:16" x14ac:dyDescent="0.15">
      <c r="B10" s="1">
        <f>B9-20</f>
        <v>149.19999999999999</v>
      </c>
      <c r="C10" s="26">
        <f>(C9*C9+10*10)^0.5</f>
        <v>531.38210258156039</v>
      </c>
      <c r="E10" s="32" t="s">
        <v>26</v>
      </c>
      <c r="F10" s="13">
        <v>6</v>
      </c>
      <c r="G10" s="14" t="s">
        <v>27</v>
      </c>
      <c r="H10" s="15">
        <v>497.3</v>
      </c>
      <c r="I10" s="15">
        <v>15</v>
      </c>
      <c r="J10" s="16">
        <f t="shared" si="0"/>
        <v>74.594999999999999</v>
      </c>
      <c r="K10" s="15">
        <v>0.88800000000000001</v>
      </c>
      <c r="L10" s="17">
        <f t="shared" si="1"/>
        <v>66.240359999999995</v>
      </c>
      <c r="M10" s="33" t="s">
        <v>28</v>
      </c>
      <c r="O10" s="19" t="s">
        <v>29</v>
      </c>
      <c r="P10" s="20">
        <f>L12</f>
        <v>184.53000073406474</v>
      </c>
    </row>
    <row r="11" spans="2:16" x14ac:dyDescent="0.15">
      <c r="B11" s="1">
        <f>(B9+B10)/2</f>
        <v>159.19999999999999</v>
      </c>
      <c r="C11" s="11">
        <f>E11-156-100-600</f>
        <v>-301</v>
      </c>
      <c r="D11" s="11">
        <f>INT(E11/200)-1</f>
        <v>1</v>
      </c>
      <c r="E11" s="34">
        <v>555</v>
      </c>
      <c r="F11" s="13">
        <v>7</v>
      </c>
      <c r="G11" s="14" t="s">
        <v>30</v>
      </c>
      <c r="H11" s="15">
        <v>513</v>
      </c>
      <c r="I11" s="15">
        <f>D11</f>
        <v>1</v>
      </c>
      <c r="J11" s="16">
        <f t="shared" si="0"/>
        <v>5.13</v>
      </c>
      <c r="K11" s="15">
        <v>3.85</v>
      </c>
      <c r="L11" s="17">
        <f t="shared" si="1"/>
        <v>19.750499999999999</v>
      </c>
      <c r="M11" s="35">
        <f>3.14*0.9*0.9*E11/100</f>
        <v>14.115869999999999</v>
      </c>
      <c r="O11" s="19" t="s">
        <v>31</v>
      </c>
      <c r="P11" s="20">
        <f>L10</f>
        <v>66.240359999999995</v>
      </c>
    </row>
    <row r="12" spans="2:16" ht="15" thickBot="1" x14ac:dyDescent="0.2">
      <c r="B12" s="1">
        <f>3.14*B11</f>
        <v>499.88799999999998</v>
      </c>
      <c r="C12" s="11">
        <f>INT(C11/20)+1</f>
        <v>-15</v>
      </c>
      <c r="D12" s="11">
        <f>INT(E11/400)</f>
        <v>1</v>
      </c>
      <c r="E12" s="36"/>
      <c r="F12" s="13">
        <v>8</v>
      </c>
      <c r="G12" s="14" t="s">
        <v>32</v>
      </c>
      <c r="H12" s="15">
        <f>B13*10+C10*60+C8*C12+C9+3.14*B10</f>
        <v>29907.617623025079</v>
      </c>
      <c r="I12" s="15">
        <v>1</v>
      </c>
      <c r="J12" s="16">
        <f t="shared" si="0"/>
        <v>299.07617623025078</v>
      </c>
      <c r="K12" s="15">
        <v>0.61699999999999999</v>
      </c>
      <c r="L12" s="17">
        <f t="shared" si="1"/>
        <v>184.53000073406474</v>
      </c>
      <c r="M12" s="31"/>
      <c r="O12" s="24" t="s">
        <v>33</v>
      </c>
      <c r="P12" s="25">
        <f>L13</f>
        <v>2.6670400000000005</v>
      </c>
    </row>
    <row r="13" spans="2:16" x14ac:dyDescent="0.15">
      <c r="B13" s="26">
        <f>(B12*B12+10*10)^0.5</f>
        <v>499.98801240029741</v>
      </c>
      <c r="E13" s="36"/>
      <c r="F13" s="13">
        <v>9</v>
      </c>
      <c r="G13" s="14" t="s">
        <v>34</v>
      </c>
      <c r="H13" s="15">
        <v>42.2</v>
      </c>
      <c r="I13" s="15">
        <f>D12*4</f>
        <v>4</v>
      </c>
      <c r="J13" s="16">
        <f t="shared" si="0"/>
        <v>1.6880000000000002</v>
      </c>
      <c r="K13" s="15">
        <v>1.58</v>
      </c>
      <c r="L13" s="17">
        <f t="shared" si="1"/>
        <v>2.6670400000000005</v>
      </c>
      <c r="M13" s="31"/>
    </row>
    <row r="14" spans="2:16" ht="15" thickBot="1" x14ac:dyDescent="0.2">
      <c r="E14" s="37"/>
      <c r="F14" s="38">
        <v>10</v>
      </c>
      <c r="G14" s="39" t="s">
        <v>35</v>
      </c>
      <c r="H14" s="40">
        <v>138.1</v>
      </c>
      <c r="I14" s="40">
        <f>I11*3</f>
        <v>3</v>
      </c>
      <c r="J14" s="41">
        <f t="shared" si="0"/>
        <v>4.1429999999999998</v>
      </c>
      <c r="K14" s="40">
        <v>3.85</v>
      </c>
      <c r="L14" s="42">
        <f t="shared" si="1"/>
        <v>15.95055</v>
      </c>
      <c r="M14" s="43"/>
    </row>
    <row r="15" spans="2:16" x14ac:dyDescent="0.15">
      <c r="I15" s="11"/>
    </row>
    <row r="16" spans="2:16" x14ac:dyDescent="0.15">
      <c r="D16" s="63" t="s">
        <v>36</v>
      </c>
      <c r="E16" s="63"/>
      <c r="F16" s="63"/>
      <c r="G16" s="63"/>
      <c r="H16" s="63"/>
    </row>
    <row r="17" spans="2:16" ht="15" thickBot="1" x14ac:dyDescent="0.2">
      <c r="O17" s="64" t="s">
        <v>37</v>
      </c>
      <c r="P17" s="64"/>
    </row>
    <row r="18" spans="2:16" x14ac:dyDescent="0.15">
      <c r="E18" s="4" t="s">
        <v>38</v>
      </c>
      <c r="F18" s="5" t="s">
        <v>39</v>
      </c>
      <c r="G18" s="6" t="s">
        <v>40</v>
      </c>
      <c r="H18" s="6" t="s">
        <v>41</v>
      </c>
      <c r="I18" s="7" t="s">
        <v>42</v>
      </c>
      <c r="J18" s="6" t="s">
        <v>43</v>
      </c>
      <c r="K18" s="6" t="s">
        <v>44</v>
      </c>
      <c r="L18" s="6" t="s">
        <v>45</v>
      </c>
      <c r="M18" s="8" t="s">
        <v>46</v>
      </c>
      <c r="O18" s="9" t="s">
        <v>47</v>
      </c>
      <c r="P18" s="10">
        <f>M21</f>
        <v>26.493749999999999</v>
      </c>
    </row>
    <row r="19" spans="2:16" x14ac:dyDescent="0.15">
      <c r="D19" s="11">
        <f>INT(D20/15)+1</f>
        <v>67</v>
      </c>
      <c r="E19" s="12"/>
      <c r="F19" s="13">
        <v>1</v>
      </c>
      <c r="G19" s="14" t="s">
        <v>35</v>
      </c>
      <c r="H19" s="15">
        <f>E21+315.9</f>
        <v>1815.9</v>
      </c>
      <c r="I19" s="15">
        <v>36</v>
      </c>
      <c r="J19" s="16">
        <f>H19*I19/100</f>
        <v>653.72400000000005</v>
      </c>
      <c r="K19" s="15">
        <v>3.85</v>
      </c>
      <c r="L19" s="17">
        <f>J19*K19</f>
        <v>2516.8374000000003</v>
      </c>
      <c r="M19" s="18"/>
      <c r="O19" s="19" t="s">
        <v>35</v>
      </c>
      <c r="P19" s="20">
        <f>L19+L22</f>
        <v>2633.0727500000003</v>
      </c>
    </row>
    <row r="20" spans="2:16" x14ac:dyDescent="0.15">
      <c r="B20" s="1">
        <f>3.14*143.2</f>
        <v>449.64799999999997</v>
      </c>
      <c r="D20" s="11">
        <f>E21-500</f>
        <v>1000</v>
      </c>
      <c r="E20" s="12" t="s">
        <v>48</v>
      </c>
      <c r="F20" s="13">
        <v>2</v>
      </c>
      <c r="G20" s="14" t="s">
        <v>32</v>
      </c>
      <c r="H20" s="15">
        <f>B21*50+B22*D19+3*B20</f>
        <v>53980.077668682294</v>
      </c>
      <c r="I20" s="15">
        <v>1</v>
      </c>
      <c r="J20" s="16">
        <f t="shared" ref="J20:J28" si="2">H20*I20/100</f>
        <v>539.80077668682293</v>
      </c>
      <c r="K20" s="15">
        <v>0.61699999999999999</v>
      </c>
      <c r="L20" s="17">
        <f t="shared" ref="L20:L28" si="3">J20*K20</f>
        <v>333.05707921576976</v>
      </c>
      <c r="M20" s="21" t="s">
        <v>49</v>
      </c>
      <c r="O20" s="19" t="s">
        <v>32</v>
      </c>
      <c r="P20" s="20">
        <f>L20</f>
        <v>333.05707921576976</v>
      </c>
    </row>
    <row r="21" spans="2:16" ht="15" thickBot="1" x14ac:dyDescent="0.2">
      <c r="B21" s="1">
        <f>(B20*B20+10*10)^0.5</f>
        <v>449.75918434646775</v>
      </c>
      <c r="D21" s="11">
        <f>INT(E21/200)</f>
        <v>7</v>
      </c>
      <c r="E21" s="22">
        <v>1500</v>
      </c>
      <c r="F21" s="13">
        <v>3</v>
      </c>
      <c r="G21" s="14" t="s">
        <v>31</v>
      </c>
      <c r="H21" s="15">
        <v>487.9</v>
      </c>
      <c r="I21" s="15">
        <v>14</v>
      </c>
      <c r="J21" s="16">
        <f t="shared" si="2"/>
        <v>68.305999999999997</v>
      </c>
      <c r="K21" s="15">
        <v>0.88800000000000001</v>
      </c>
      <c r="L21" s="17">
        <f t="shared" si="3"/>
        <v>60.655727999999996</v>
      </c>
      <c r="M21" s="23">
        <f>3.14*0.75*0.75*E21/100</f>
        <v>26.493749999999999</v>
      </c>
      <c r="O21" s="24" t="s">
        <v>31</v>
      </c>
      <c r="P21" s="25">
        <f>L21</f>
        <v>60.655727999999996</v>
      </c>
    </row>
    <row r="22" spans="2:16" x14ac:dyDescent="0.15">
      <c r="B22" s="1">
        <f>(B20*B20+15*15)^0.5</f>
        <v>449.89812613968508</v>
      </c>
      <c r="C22" s="26">
        <f>(C23*C23+20*20)^0.5</f>
        <v>531.66431039143481</v>
      </c>
      <c r="E22" s="27"/>
      <c r="F22" s="13">
        <v>4</v>
      </c>
      <c r="G22" s="14" t="s">
        <v>35</v>
      </c>
      <c r="H22" s="15">
        <f>431.3</f>
        <v>431.3</v>
      </c>
      <c r="I22" s="15">
        <f>D21</f>
        <v>7</v>
      </c>
      <c r="J22" s="16">
        <f t="shared" si="2"/>
        <v>30.190999999999999</v>
      </c>
      <c r="K22" s="15">
        <v>3.85</v>
      </c>
      <c r="L22" s="17">
        <f t="shared" si="3"/>
        <v>116.23535</v>
      </c>
      <c r="M22" s="28"/>
      <c r="O22" s="29" t="s">
        <v>50</v>
      </c>
      <c r="P22" s="10">
        <f>M25</f>
        <v>50.868000000000002</v>
      </c>
    </row>
    <row r="23" spans="2:16" x14ac:dyDescent="0.15">
      <c r="B23" s="1">
        <f>180-6*2+1+0.2</f>
        <v>169.2</v>
      </c>
      <c r="C23" s="1">
        <f>3.14*B23</f>
        <v>531.28800000000001</v>
      </c>
      <c r="E23" s="30"/>
      <c r="F23" s="13">
        <v>5</v>
      </c>
      <c r="G23" s="14" t="s">
        <v>35</v>
      </c>
      <c r="H23" s="15">
        <f>E25-6+1.1</f>
        <v>1995.1</v>
      </c>
      <c r="I23" s="15">
        <v>36</v>
      </c>
      <c r="J23" s="16">
        <f t="shared" si="2"/>
        <v>718.23599999999988</v>
      </c>
      <c r="K23" s="15">
        <v>3.85</v>
      </c>
      <c r="L23" s="17">
        <f t="shared" si="3"/>
        <v>2765.2085999999995</v>
      </c>
      <c r="M23" s="31"/>
      <c r="O23" s="19" t="s">
        <v>35</v>
      </c>
      <c r="P23" s="20">
        <f>L23+L25+L28</f>
        <v>3086.5180499999997</v>
      </c>
    </row>
    <row r="24" spans="2:16" x14ac:dyDescent="0.15">
      <c r="B24" s="1">
        <f>B23-20</f>
        <v>149.19999999999999</v>
      </c>
      <c r="C24" s="26">
        <f>(C23*C23+10*10)^0.5</f>
        <v>531.38210258156039</v>
      </c>
      <c r="E24" s="32" t="s">
        <v>51</v>
      </c>
      <c r="F24" s="13">
        <v>6</v>
      </c>
      <c r="G24" s="14" t="s">
        <v>31</v>
      </c>
      <c r="H24" s="15">
        <v>497.3</v>
      </c>
      <c r="I24" s="15">
        <v>15</v>
      </c>
      <c r="J24" s="16">
        <f t="shared" si="2"/>
        <v>74.594999999999999</v>
      </c>
      <c r="K24" s="15">
        <v>0.88800000000000001</v>
      </c>
      <c r="L24" s="17">
        <f t="shared" si="3"/>
        <v>66.240359999999995</v>
      </c>
      <c r="M24" s="33" t="s">
        <v>52</v>
      </c>
      <c r="O24" s="19" t="s">
        <v>32</v>
      </c>
      <c r="P24" s="20">
        <f>L26</f>
        <v>423.9969227774709</v>
      </c>
    </row>
    <row r="25" spans="2:16" x14ac:dyDescent="0.15">
      <c r="B25" s="1">
        <f>(B23+B24)/2</f>
        <v>159.19999999999999</v>
      </c>
      <c r="C25" s="11">
        <f>E25-156-100-600</f>
        <v>1144</v>
      </c>
      <c r="D25" s="11">
        <f>INT(E25/200)-1</f>
        <v>9</v>
      </c>
      <c r="E25" s="34">
        <v>2000</v>
      </c>
      <c r="F25" s="13">
        <v>7</v>
      </c>
      <c r="G25" s="14" t="s">
        <v>35</v>
      </c>
      <c r="H25" s="15">
        <v>513</v>
      </c>
      <c r="I25" s="15">
        <f>D25</f>
        <v>9</v>
      </c>
      <c r="J25" s="16">
        <f t="shared" si="2"/>
        <v>46.17</v>
      </c>
      <c r="K25" s="15">
        <v>3.85</v>
      </c>
      <c r="L25" s="17">
        <f t="shared" si="3"/>
        <v>177.75450000000001</v>
      </c>
      <c r="M25" s="35">
        <f>3.14*0.9*0.9*E25/100</f>
        <v>50.868000000000002</v>
      </c>
      <c r="O25" s="19" t="s">
        <v>31</v>
      </c>
      <c r="P25" s="20">
        <f>L24</f>
        <v>66.240359999999995</v>
      </c>
    </row>
    <row r="26" spans="2:16" ht="15" thickBot="1" x14ac:dyDescent="0.2">
      <c r="B26" s="1">
        <f>3.14*B25</f>
        <v>499.88799999999998</v>
      </c>
      <c r="C26" s="11">
        <f>INT(C25/20)+1</f>
        <v>58</v>
      </c>
      <c r="D26" s="11">
        <f>INT(E25/400)</f>
        <v>5</v>
      </c>
      <c r="E26" s="36"/>
      <c r="F26" s="13">
        <v>8</v>
      </c>
      <c r="G26" s="14" t="s">
        <v>32</v>
      </c>
      <c r="H26" s="15">
        <f>B27*10+C24*60+C22*C26+C23+3.14*B24</f>
        <v>68719.112281599824</v>
      </c>
      <c r="I26" s="15">
        <v>1</v>
      </c>
      <c r="J26" s="16">
        <f t="shared" si="2"/>
        <v>687.19112281599826</v>
      </c>
      <c r="K26" s="15">
        <v>0.61699999999999999</v>
      </c>
      <c r="L26" s="17">
        <f t="shared" si="3"/>
        <v>423.9969227774709</v>
      </c>
      <c r="M26" s="31"/>
      <c r="O26" s="24" t="s">
        <v>33</v>
      </c>
      <c r="P26" s="25">
        <f>L27</f>
        <v>13.3352</v>
      </c>
    </row>
    <row r="27" spans="2:16" x14ac:dyDescent="0.15">
      <c r="B27" s="26">
        <f>(B26*B26+10*10)^0.5</f>
        <v>499.98801240029741</v>
      </c>
      <c r="E27" s="36"/>
      <c r="F27" s="13">
        <v>9</v>
      </c>
      <c r="G27" s="14" t="s">
        <v>34</v>
      </c>
      <c r="H27" s="15">
        <v>42.2</v>
      </c>
      <c r="I27" s="15">
        <f>D26*4</f>
        <v>20</v>
      </c>
      <c r="J27" s="16">
        <f t="shared" si="2"/>
        <v>8.44</v>
      </c>
      <c r="K27" s="15">
        <v>1.58</v>
      </c>
      <c r="L27" s="17">
        <f t="shared" si="3"/>
        <v>13.3352</v>
      </c>
      <c r="M27" s="31"/>
    </row>
    <row r="28" spans="2:16" ht="15" thickBot="1" x14ac:dyDescent="0.2">
      <c r="E28" s="37"/>
      <c r="F28" s="38">
        <v>10</v>
      </c>
      <c r="G28" s="39" t="s">
        <v>35</v>
      </c>
      <c r="H28" s="40">
        <v>138.1</v>
      </c>
      <c r="I28" s="40">
        <f>I25*3</f>
        <v>27</v>
      </c>
      <c r="J28" s="41">
        <f t="shared" si="2"/>
        <v>37.286999999999999</v>
      </c>
      <c r="K28" s="40">
        <v>3.85</v>
      </c>
      <c r="L28" s="42">
        <f t="shared" si="3"/>
        <v>143.55494999999999</v>
      </c>
      <c r="M28" s="43"/>
    </row>
    <row r="29" spans="2:16" x14ac:dyDescent="0.15">
      <c r="I29" s="11"/>
    </row>
    <row r="30" spans="2:16" x14ac:dyDescent="0.15">
      <c r="I30" s="11"/>
    </row>
    <row r="31" spans="2:16" x14ac:dyDescent="0.15">
      <c r="I31" s="11"/>
    </row>
    <row r="32" spans="2:16" x14ac:dyDescent="0.15">
      <c r="I32" s="11"/>
    </row>
    <row r="33" spans="2:16" x14ac:dyDescent="0.15">
      <c r="D33" s="63" t="s">
        <v>53</v>
      </c>
      <c r="E33" s="63"/>
      <c r="F33" s="63"/>
      <c r="G33" s="63"/>
      <c r="H33" s="63"/>
      <c r="I33" s="11"/>
    </row>
    <row r="34" spans="2:16" ht="15" thickBot="1" x14ac:dyDescent="0.2">
      <c r="I34" s="11"/>
      <c r="O34" s="64" t="s">
        <v>37</v>
      </c>
      <c r="P34" s="64"/>
    </row>
    <row r="35" spans="2:16" x14ac:dyDescent="0.15">
      <c r="E35" s="4" t="s">
        <v>38</v>
      </c>
      <c r="F35" s="5" t="s">
        <v>39</v>
      </c>
      <c r="G35" s="6" t="s">
        <v>40</v>
      </c>
      <c r="H35" s="6" t="s">
        <v>41</v>
      </c>
      <c r="I35" s="7" t="s">
        <v>42</v>
      </c>
      <c r="J35" s="6" t="s">
        <v>43</v>
      </c>
      <c r="K35" s="6" t="s">
        <v>44</v>
      </c>
      <c r="L35" s="6" t="s">
        <v>45</v>
      </c>
      <c r="M35" s="8" t="s">
        <v>46</v>
      </c>
      <c r="O35" s="9" t="s">
        <v>47</v>
      </c>
      <c r="P35" s="10">
        <f>M38</f>
        <v>67.512009599999999</v>
      </c>
    </row>
    <row r="36" spans="2:16" x14ac:dyDescent="0.15">
      <c r="D36" s="11">
        <f>INT(D37/15)+1</f>
        <v>144</v>
      </c>
      <c r="E36" s="12"/>
      <c r="F36" s="13">
        <v>1</v>
      </c>
      <c r="G36" s="14" t="s">
        <v>54</v>
      </c>
      <c r="H36" s="15">
        <f>E38+345.5</f>
        <v>2999.9</v>
      </c>
      <c r="I36" s="15">
        <v>40</v>
      </c>
      <c r="J36" s="16">
        <f>H36*I36/100</f>
        <v>1199.96</v>
      </c>
      <c r="K36" s="15">
        <v>4.83</v>
      </c>
      <c r="L36" s="17">
        <f>J36*K36</f>
        <v>5795.8068000000003</v>
      </c>
      <c r="M36" s="18"/>
      <c r="O36" s="19" t="s">
        <v>55</v>
      </c>
      <c r="P36" s="20">
        <f>L36</f>
        <v>5795.8068000000003</v>
      </c>
    </row>
    <row r="37" spans="2:16" x14ac:dyDescent="0.15">
      <c r="B37" s="1">
        <f>3.14*173.2</f>
        <v>543.84799999999996</v>
      </c>
      <c r="D37" s="11">
        <f>E38-500</f>
        <v>2154.4</v>
      </c>
      <c r="E37" s="12" t="s">
        <v>48</v>
      </c>
      <c r="F37" s="13">
        <v>2</v>
      </c>
      <c r="G37" s="14" t="s">
        <v>32</v>
      </c>
      <c r="H37" s="15">
        <f>B38*50+B39*D36+3*B37</f>
        <v>107172.43455606734</v>
      </c>
      <c r="I37" s="15">
        <v>1</v>
      </c>
      <c r="J37" s="16">
        <f t="shared" ref="J37:J45" si="4">H37*I37/100</f>
        <v>1071.7243455606733</v>
      </c>
      <c r="K37" s="15">
        <v>0.61699999999999999</v>
      </c>
      <c r="L37" s="17">
        <f t="shared" ref="L37:L45" si="5">J37*K37</f>
        <v>661.25392121093546</v>
      </c>
      <c r="M37" s="21" t="s">
        <v>49</v>
      </c>
      <c r="O37" s="19" t="s">
        <v>56</v>
      </c>
      <c r="P37" s="20">
        <f>L39</f>
        <v>262.06180000000001</v>
      </c>
    </row>
    <row r="38" spans="2:16" x14ac:dyDescent="0.15">
      <c r="B38" s="1">
        <f>(B37*B37+10*10)^0.5</f>
        <v>543.93992968341638</v>
      </c>
      <c r="D38" s="11">
        <f>INT(E38/200)</f>
        <v>13</v>
      </c>
      <c r="E38" s="22">
        <v>2654.4</v>
      </c>
      <c r="F38" s="13">
        <v>3</v>
      </c>
      <c r="G38" s="14" t="s">
        <v>31</v>
      </c>
      <c r="H38" s="15">
        <v>582.1</v>
      </c>
      <c r="I38" s="15">
        <v>14</v>
      </c>
      <c r="J38" s="16">
        <f t="shared" si="4"/>
        <v>81.494</v>
      </c>
      <c r="K38" s="15">
        <v>0.88800000000000001</v>
      </c>
      <c r="L38" s="17">
        <f t="shared" si="5"/>
        <v>72.366671999999994</v>
      </c>
      <c r="M38" s="23">
        <f>3.14*0.9*0.9*E38/100</f>
        <v>67.512009599999999</v>
      </c>
      <c r="O38" s="19" t="s">
        <v>32</v>
      </c>
      <c r="P38" s="20">
        <f>L37</f>
        <v>661.25392121093546</v>
      </c>
    </row>
    <row r="39" spans="2:16" ht="15" thickBot="1" x14ac:dyDescent="0.2">
      <c r="B39" s="1">
        <f>(B37*B37+15*15)^0.5</f>
        <v>544.05481994372587</v>
      </c>
      <c r="C39" s="26">
        <f>(C40*C40+20*20)^0.5</f>
        <v>594.42455513210416</v>
      </c>
      <c r="E39" s="27"/>
      <c r="F39" s="13">
        <v>4</v>
      </c>
      <c r="G39" s="14" t="s">
        <v>35</v>
      </c>
      <c r="H39" s="15">
        <v>523.6</v>
      </c>
      <c r="I39" s="15">
        <f>D38</f>
        <v>13</v>
      </c>
      <c r="J39" s="16">
        <f t="shared" si="4"/>
        <v>68.067999999999998</v>
      </c>
      <c r="K39" s="15">
        <v>3.85</v>
      </c>
      <c r="L39" s="17">
        <f t="shared" si="5"/>
        <v>262.06180000000001</v>
      </c>
      <c r="M39" s="28"/>
      <c r="O39" s="24" t="s">
        <v>31</v>
      </c>
      <c r="P39" s="25">
        <f>L38</f>
        <v>72.366671999999994</v>
      </c>
    </row>
    <row r="40" spans="2:16" x14ac:dyDescent="0.15">
      <c r="B40" s="1">
        <f>200-6*2+1+0.2</f>
        <v>189.2</v>
      </c>
      <c r="C40" s="1">
        <f>3.14*B40</f>
        <v>594.08799999999997</v>
      </c>
      <c r="E40" s="30"/>
      <c r="F40" s="13">
        <v>5</v>
      </c>
      <c r="G40" s="14" t="s">
        <v>54</v>
      </c>
      <c r="H40" s="15">
        <f>E42-6+0.7</f>
        <v>2194.6999999999998</v>
      </c>
      <c r="I40" s="15">
        <v>40</v>
      </c>
      <c r="J40" s="16">
        <f t="shared" si="4"/>
        <v>877.88</v>
      </c>
      <c r="K40" s="15">
        <v>4.83</v>
      </c>
      <c r="L40" s="17">
        <f t="shared" si="5"/>
        <v>4240.1603999999998</v>
      </c>
      <c r="M40" s="31"/>
      <c r="O40" s="29" t="s">
        <v>50</v>
      </c>
      <c r="P40" s="10">
        <f>M42</f>
        <v>69.08</v>
      </c>
    </row>
    <row r="41" spans="2:16" x14ac:dyDescent="0.15">
      <c r="B41" s="1">
        <f>B40-20</f>
        <v>169.2</v>
      </c>
      <c r="C41" s="26">
        <f>(C40*C40+10*10)^0.5</f>
        <v>594.17215665495462</v>
      </c>
      <c r="E41" s="32" t="s">
        <v>51</v>
      </c>
      <c r="F41" s="13">
        <v>6</v>
      </c>
      <c r="G41" s="14" t="s">
        <v>31</v>
      </c>
      <c r="H41" s="15">
        <v>575.9</v>
      </c>
      <c r="I41" s="15">
        <v>18</v>
      </c>
      <c r="J41" s="16">
        <f t="shared" si="4"/>
        <v>103.66199999999999</v>
      </c>
      <c r="K41" s="15">
        <v>0.88800000000000001</v>
      </c>
      <c r="L41" s="17">
        <f t="shared" si="5"/>
        <v>92.051856000000001</v>
      </c>
      <c r="M41" s="33" t="s">
        <v>52</v>
      </c>
      <c r="O41" s="19" t="s">
        <v>55</v>
      </c>
      <c r="P41" s="20">
        <f>L40</f>
        <v>4240.1603999999998</v>
      </c>
    </row>
    <row r="42" spans="2:16" x14ac:dyDescent="0.15">
      <c r="B42" s="1">
        <f>(B40+B41)/2</f>
        <v>179.2</v>
      </c>
      <c r="C42" s="11">
        <f>E42-186-100-600</f>
        <v>1314</v>
      </c>
      <c r="D42" s="11">
        <f>INT(E42/200)-1</f>
        <v>10</v>
      </c>
      <c r="E42" s="34">
        <v>2200</v>
      </c>
      <c r="F42" s="13">
        <v>7</v>
      </c>
      <c r="G42" s="14" t="s">
        <v>57</v>
      </c>
      <c r="H42" s="15">
        <v>573.79999999999995</v>
      </c>
      <c r="I42" s="15">
        <f>D42</f>
        <v>10</v>
      </c>
      <c r="J42" s="16">
        <f t="shared" si="4"/>
        <v>57.38</v>
      </c>
      <c r="K42" s="15">
        <v>3.85</v>
      </c>
      <c r="L42" s="17">
        <f t="shared" si="5"/>
        <v>220.91300000000001</v>
      </c>
      <c r="M42" s="35">
        <f>3.14*1*1*E42/100</f>
        <v>69.08</v>
      </c>
      <c r="O42" s="19" t="s">
        <v>35</v>
      </c>
      <c r="P42" s="20">
        <f>L42+L45</f>
        <v>399.82249999999999</v>
      </c>
    </row>
    <row r="43" spans="2:16" x14ac:dyDescent="0.15">
      <c r="B43" s="1">
        <f>3.14*B42</f>
        <v>562.68799999999999</v>
      </c>
      <c r="C43" s="11">
        <f>INT(C42/20)+1</f>
        <v>66</v>
      </c>
      <c r="D43" s="11">
        <f>INT(E42/400)</f>
        <v>5</v>
      </c>
      <c r="E43" s="36"/>
      <c r="F43" s="13">
        <v>8</v>
      </c>
      <c r="G43" s="14" t="s">
        <v>32</v>
      </c>
      <c r="H43" s="15">
        <f>B44*10+C41*60+C39*C43+C40+3.14*B41</f>
        <v>81635.494559766128</v>
      </c>
      <c r="I43" s="15">
        <v>1</v>
      </c>
      <c r="J43" s="16">
        <f t="shared" si="4"/>
        <v>816.3549455976613</v>
      </c>
      <c r="K43" s="15">
        <v>0.61699999999999999</v>
      </c>
      <c r="L43" s="17">
        <f t="shared" si="5"/>
        <v>503.69100143375704</v>
      </c>
      <c r="M43" s="31"/>
      <c r="O43" s="19" t="s">
        <v>32</v>
      </c>
      <c r="P43" s="20">
        <f>L43</f>
        <v>503.69100143375704</v>
      </c>
    </row>
    <row r="44" spans="2:16" x14ac:dyDescent="0.15">
      <c r="B44" s="26">
        <f>(B43*B43+10*10)^0.5</f>
        <v>562.77685217499834</v>
      </c>
      <c r="E44" s="36"/>
      <c r="F44" s="13">
        <v>9</v>
      </c>
      <c r="G44" s="14" t="s">
        <v>58</v>
      </c>
      <c r="H44" s="15">
        <v>42.2</v>
      </c>
      <c r="I44" s="15">
        <f>D43*4</f>
        <v>20</v>
      </c>
      <c r="J44" s="16">
        <f t="shared" si="4"/>
        <v>8.44</v>
      </c>
      <c r="K44" s="15">
        <v>1.58</v>
      </c>
      <c r="L44" s="17">
        <f t="shared" si="5"/>
        <v>13.3352</v>
      </c>
      <c r="M44" s="31"/>
      <c r="O44" s="19" t="s">
        <v>27</v>
      </c>
      <c r="P44" s="20">
        <f>L41</f>
        <v>92.051856000000001</v>
      </c>
    </row>
    <row r="45" spans="2:16" ht="15" thickBot="1" x14ac:dyDescent="0.2">
      <c r="E45" s="37"/>
      <c r="F45" s="38">
        <v>10</v>
      </c>
      <c r="G45" s="39" t="s">
        <v>30</v>
      </c>
      <c r="H45" s="40">
        <v>154.9</v>
      </c>
      <c r="I45" s="40">
        <f>I42*3</f>
        <v>30</v>
      </c>
      <c r="J45" s="41">
        <f t="shared" si="4"/>
        <v>46.47</v>
      </c>
      <c r="K45" s="40">
        <v>3.85</v>
      </c>
      <c r="L45" s="42">
        <f t="shared" si="5"/>
        <v>178.90950000000001</v>
      </c>
      <c r="M45" s="43"/>
      <c r="O45" s="24" t="s">
        <v>59</v>
      </c>
      <c r="P45" s="25">
        <f>L44</f>
        <v>13.3352</v>
      </c>
    </row>
    <row r="46" spans="2:16" x14ac:dyDescent="0.15">
      <c r="I46" s="11"/>
    </row>
    <row r="47" spans="2:16" x14ac:dyDescent="0.15">
      <c r="I47" s="11"/>
    </row>
    <row r="48" spans="2:16" x14ac:dyDescent="0.15">
      <c r="I48" s="11"/>
    </row>
    <row r="49" spans="2:16" x14ac:dyDescent="0.15">
      <c r="D49" s="63" t="s">
        <v>60</v>
      </c>
      <c r="E49" s="63"/>
      <c r="F49" s="63"/>
      <c r="G49" s="63"/>
      <c r="H49" s="63"/>
      <c r="I49" s="66" t="s">
        <v>61</v>
      </c>
      <c r="J49" s="66"/>
    </row>
    <row r="50" spans="2:16" ht="15" thickBot="1" x14ac:dyDescent="0.2">
      <c r="I50" s="11"/>
      <c r="O50" s="64" t="s">
        <v>62</v>
      </c>
      <c r="P50" s="64"/>
    </row>
    <row r="51" spans="2:16" x14ac:dyDescent="0.15">
      <c r="E51" s="4" t="s">
        <v>63</v>
      </c>
      <c r="F51" s="5" t="s">
        <v>64</v>
      </c>
      <c r="G51" s="6" t="s">
        <v>65</v>
      </c>
      <c r="H51" s="6" t="s">
        <v>66</v>
      </c>
      <c r="I51" s="7" t="s">
        <v>67</v>
      </c>
      <c r="J51" s="6" t="s">
        <v>68</v>
      </c>
      <c r="K51" s="6" t="s">
        <v>69</v>
      </c>
      <c r="L51" s="6" t="s">
        <v>70</v>
      </c>
      <c r="M51" s="8" t="s">
        <v>71</v>
      </c>
      <c r="O51" s="9" t="s">
        <v>72</v>
      </c>
      <c r="P51" s="10">
        <f>M54</f>
        <v>100.30416000000001</v>
      </c>
    </row>
    <row r="52" spans="2:16" x14ac:dyDescent="0.15">
      <c r="D52" s="11">
        <f>INT(D53/15)+1</f>
        <v>180</v>
      </c>
      <c r="E52" s="12"/>
      <c r="F52" s="13">
        <v>1</v>
      </c>
      <c r="G52" s="14" t="s">
        <v>73</v>
      </c>
      <c r="H52" s="15">
        <f>E54+385.4</f>
        <v>3579.8</v>
      </c>
      <c r="I52" s="15">
        <v>50</v>
      </c>
      <c r="J52" s="16">
        <f>H52*I52/100</f>
        <v>1789.9</v>
      </c>
      <c r="K52" s="15">
        <v>4.83</v>
      </c>
      <c r="L52" s="17">
        <f>J52*K52</f>
        <v>8645.2170000000006</v>
      </c>
      <c r="M52" s="18"/>
      <c r="O52" s="19" t="s">
        <v>74</v>
      </c>
      <c r="P52" s="20">
        <f>L52</f>
        <v>8645.2170000000006</v>
      </c>
    </row>
    <row r="53" spans="2:16" x14ac:dyDescent="0.15">
      <c r="B53" s="1">
        <f>3.14*193.2</f>
        <v>606.64800000000002</v>
      </c>
      <c r="D53" s="11">
        <f>E54-500</f>
        <v>2694.4</v>
      </c>
      <c r="E53" s="12" t="s">
        <v>21</v>
      </c>
      <c r="F53" s="13">
        <v>2</v>
      </c>
      <c r="G53" s="14" t="s">
        <v>22</v>
      </c>
      <c r="H53" s="15">
        <f>B54*50+B55*D52+3*B53</f>
        <v>141386.47977357337</v>
      </c>
      <c r="I53" s="15">
        <v>1</v>
      </c>
      <c r="J53" s="16">
        <f t="shared" ref="J53:J61" si="6">H53*I53/100</f>
        <v>1413.8647977357336</v>
      </c>
      <c r="K53" s="15">
        <v>0.61699999999999999</v>
      </c>
      <c r="L53" s="17">
        <f t="shared" ref="L53:L61" si="7">J53*K53</f>
        <v>872.35458020294766</v>
      </c>
      <c r="M53" s="21" t="s">
        <v>23</v>
      </c>
      <c r="O53" s="19" t="s">
        <v>75</v>
      </c>
      <c r="P53" s="20">
        <f>L55</f>
        <v>338.64599999999996</v>
      </c>
    </row>
    <row r="54" spans="2:16" x14ac:dyDescent="0.15">
      <c r="B54" s="1">
        <f>(B53*B53+10*10)^0.5</f>
        <v>606.73041452032055</v>
      </c>
      <c r="D54" s="11">
        <f>INT(E54/200)</f>
        <v>15</v>
      </c>
      <c r="E54" s="22">
        <v>3194.4</v>
      </c>
      <c r="F54" s="13">
        <v>3</v>
      </c>
      <c r="G54" s="14" t="s">
        <v>24</v>
      </c>
      <c r="H54" s="15">
        <v>645</v>
      </c>
      <c r="I54" s="15">
        <v>16</v>
      </c>
      <c r="J54" s="16">
        <f t="shared" si="6"/>
        <v>103.2</v>
      </c>
      <c r="K54" s="15">
        <v>0.88800000000000001</v>
      </c>
      <c r="L54" s="17">
        <f t="shared" si="7"/>
        <v>91.641599999999997</v>
      </c>
      <c r="M54" s="23">
        <f>3.14*1*1*E54/100</f>
        <v>100.30416000000001</v>
      </c>
      <c r="O54" s="19" t="s">
        <v>22</v>
      </c>
      <c r="P54" s="20">
        <f>L53</f>
        <v>872.35458020294766</v>
      </c>
    </row>
    <row r="55" spans="2:16" ht="15" thickBot="1" x14ac:dyDescent="0.2">
      <c r="B55" s="1">
        <f>(B53*B53+15*15)^0.5</f>
        <v>606.83341693087414</v>
      </c>
      <c r="C55" s="26">
        <f>(C56*C56+20*20)^0.5</f>
        <v>657.19239537900933</v>
      </c>
      <c r="E55" s="27"/>
      <c r="F55" s="13">
        <v>4</v>
      </c>
      <c r="G55" s="14" t="s">
        <v>20</v>
      </c>
      <c r="H55" s="15">
        <v>586.4</v>
      </c>
      <c r="I55" s="15">
        <f>D54</f>
        <v>15</v>
      </c>
      <c r="J55" s="16">
        <f t="shared" si="6"/>
        <v>87.96</v>
      </c>
      <c r="K55" s="15">
        <v>3.85</v>
      </c>
      <c r="L55" s="17">
        <f t="shared" si="7"/>
        <v>338.64599999999996</v>
      </c>
      <c r="M55" s="28"/>
      <c r="O55" s="24" t="s">
        <v>24</v>
      </c>
      <c r="P55" s="25">
        <f>L54</f>
        <v>91.641599999999997</v>
      </c>
    </row>
    <row r="56" spans="2:16" x14ac:dyDescent="0.15">
      <c r="B56" s="1">
        <f>220-6*2+1+0.2</f>
        <v>209.2</v>
      </c>
      <c r="C56" s="1">
        <f>3.14*B56</f>
        <v>656.88800000000003</v>
      </c>
      <c r="E56" s="30"/>
      <c r="F56" s="13">
        <v>5</v>
      </c>
      <c r="G56" s="14" t="s">
        <v>76</v>
      </c>
      <c r="H56" s="15">
        <f>E58-6+0.7</f>
        <v>2394.6999999999998</v>
      </c>
      <c r="I56" s="15">
        <v>50</v>
      </c>
      <c r="J56" s="16">
        <f t="shared" si="6"/>
        <v>1197.3499999999999</v>
      </c>
      <c r="K56" s="15">
        <v>4.83</v>
      </c>
      <c r="L56" s="17">
        <f t="shared" si="7"/>
        <v>5783.2004999999999</v>
      </c>
      <c r="M56" s="31"/>
      <c r="O56" s="29" t="s">
        <v>25</v>
      </c>
      <c r="P56" s="10">
        <f>M58</f>
        <v>91.185600000000008</v>
      </c>
    </row>
    <row r="57" spans="2:16" x14ac:dyDescent="0.15">
      <c r="B57" s="1">
        <f>B56-20</f>
        <v>189.2</v>
      </c>
      <c r="C57" s="26">
        <f>(C56*C56+10*10)^0.5</f>
        <v>656.96411206701396</v>
      </c>
      <c r="E57" s="32" t="s">
        <v>77</v>
      </c>
      <c r="F57" s="13">
        <v>6</v>
      </c>
      <c r="G57" s="14" t="s">
        <v>24</v>
      </c>
      <c r="H57" s="15">
        <v>638.70000000000005</v>
      </c>
      <c r="I57" s="15">
        <v>20</v>
      </c>
      <c r="J57" s="16">
        <f t="shared" si="6"/>
        <v>127.74</v>
      </c>
      <c r="K57" s="15">
        <v>0.88800000000000001</v>
      </c>
      <c r="L57" s="17">
        <f t="shared" si="7"/>
        <v>113.43312</v>
      </c>
      <c r="M57" s="33" t="s">
        <v>78</v>
      </c>
      <c r="O57" s="19" t="s">
        <v>79</v>
      </c>
      <c r="P57" s="20">
        <f>L56</f>
        <v>5783.2004999999999</v>
      </c>
    </row>
    <row r="58" spans="2:16" x14ac:dyDescent="0.15">
      <c r="B58" s="1">
        <f>(B56+B57)/2</f>
        <v>199.2</v>
      </c>
      <c r="C58" s="11">
        <f>E58-186-100-600</f>
        <v>1514</v>
      </c>
      <c r="D58" s="11">
        <f>INT(E58/200)-1</f>
        <v>11</v>
      </c>
      <c r="E58" s="34">
        <v>2400</v>
      </c>
      <c r="F58" s="13">
        <v>7</v>
      </c>
      <c r="G58" s="14" t="s">
        <v>20</v>
      </c>
      <c r="H58" s="15">
        <v>636.70000000000005</v>
      </c>
      <c r="I58" s="15">
        <f>D58</f>
        <v>11</v>
      </c>
      <c r="J58" s="16">
        <f t="shared" si="6"/>
        <v>70.037000000000006</v>
      </c>
      <c r="K58" s="15">
        <v>3.85</v>
      </c>
      <c r="L58" s="17">
        <f t="shared" si="7"/>
        <v>269.64245000000005</v>
      </c>
      <c r="M58" s="35">
        <f>3.14*1.1*1.1*E58/100</f>
        <v>91.185600000000008</v>
      </c>
      <c r="O58" s="19" t="s">
        <v>20</v>
      </c>
      <c r="P58" s="20">
        <f>L58+L61</f>
        <v>466.44290000000001</v>
      </c>
    </row>
    <row r="59" spans="2:16" x14ac:dyDescent="0.15">
      <c r="B59" s="1">
        <f>3.14*B58</f>
        <v>625.48799999999994</v>
      </c>
      <c r="C59" s="11">
        <f>INT(C58/20)+1</f>
        <v>76</v>
      </c>
      <c r="D59" s="11">
        <f>INT(E58/400)</f>
        <v>6</v>
      </c>
      <c r="E59" s="36"/>
      <c r="F59" s="13">
        <v>8</v>
      </c>
      <c r="G59" s="14" t="s">
        <v>22</v>
      </c>
      <c r="H59" s="15">
        <f>B60*10+C57*60+C55*C59+C56+3.14*B57</f>
        <v>96871.124097599168</v>
      </c>
      <c r="I59" s="15">
        <v>1</v>
      </c>
      <c r="J59" s="16">
        <f t="shared" si="6"/>
        <v>968.7112409759917</v>
      </c>
      <c r="K59" s="15">
        <v>0.61699999999999999</v>
      </c>
      <c r="L59" s="17">
        <f t="shared" si="7"/>
        <v>597.69483568218686</v>
      </c>
      <c r="M59" s="31"/>
      <c r="O59" s="19" t="s">
        <v>22</v>
      </c>
      <c r="P59" s="20">
        <f>L59</f>
        <v>597.69483568218686</v>
      </c>
    </row>
    <row r="60" spans="2:16" x14ac:dyDescent="0.15">
      <c r="B60" s="26">
        <f>(B59*B59+10*10)^0.5</f>
        <v>625.56793247736084</v>
      </c>
      <c r="E60" s="36"/>
      <c r="F60" s="13">
        <v>9</v>
      </c>
      <c r="G60" s="14" t="s">
        <v>80</v>
      </c>
      <c r="H60" s="15">
        <v>42.2</v>
      </c>
      <c r="I60" s="15">
        <f>D59*4</f>
        <v>24</v>
      </c>
      <c r="J60" s="16">
        <f t="shared" si="6"/>
        <v>10.128</v>
      </c>
      <c r="K60" s="15">
        <v>1.58</v>
      </c>
      <c r="L60" s="17">
        <f t="shared" si="7"/>
        <v>16.00224</v>
      </c>
      <c r="M60" s="31"/>
      <c r="O60" s="19" t="s">
        <v>24</v>
      </c>
      <c r="P60" s="20">
        <f>L57</f>
        <v>113.43312</v>
      </c>
    </row>
    <row r="61" spans="2:16" ht="15" thickBot="1" x14ac:dyDescent="0.2">
      <c r="E61" s="37"/>
      <c r="F61" s="38">
        <v>10</v>
      </c>
      <c r="G61" s="39" t="s">
        <v>20</v>
      </c>
      <c r="H61" s="40">
        <v>154.9</v>
      </c>
      <c r="I61" s="40">
        <f>I58*3</f>
        <v>33</v>
      </c>
      <c r="J61" s="41">
        <f t="shared" si="6"/>
        <v>51.116999999999997</v>
      </c>
      <c r="K61" s="40">
        <v>3.85</v>
      </c>
      <c r="L61" s="42">
        <f t="shared" si="7"/>
        <v>196.80044999999998</v>
      </c>
      <c r="M61" s="43"/>
      <c r="O61" s="24" t="s">
        <v>81</v>
      </c>
      <c r="P61" s="25">
        <f>L60</f>
        <v>16.00224</v>
      </c>
    </row>
    <row r="66" spans="2:16" x14ac:dyDescent="0.15">
      <c r="D66" s="63" t="s">
        <v>82</v>
      </c>
      <c r="E66" s="63"/>
      <c r="F66" s="63"/>
      <c r="G66" s="63"/>
      <c r="H66" s="63"/>
      <c r="I66" s="65" t="s">
        <v>83</v>
      </c>
      <c r="J66" s="65"/>
    </row>
    <row r="67" spans="2:16" ht="15" thickBot="1" x14ac:dyDescent="0.2">
      <c r="O67" s="64" t="s">
        <v>9</v>
      </c>
      <c r="P67" s="64"/>
    </row>
    <row r="68" spans="2:16" x14ac:dyDescent="0.15">
      <c r="E68" s="4" t="s">
        <v>10</v>
      </c>
      <c r="F68" s="5" t="s">
        <v>11</v>
      </c>
      <c r="G68" s="6" t="s">
        <v>12</v>
      </c>
      <c r="H68" s="6" t="s">
        <v>13</v>
      </c>
      <c r="I68" s="7" t="s">
        <v>14</v>
      </c>
      <c r="J68" s="6" t="s">
        <v>15</v>
      </c>
      <c r="K68" s="6" t="s">
        <v>16</v>
      </c>
      <c r="L68" s="6" t="s">
        <v>17</v>
      </c>
      <c r="M68" s="8" t="s">
        <v>18</v>
      </c>
      <c r="O68" s="9" t="s">
        <v>19</v>
      </c>
      <c r="P68" s="10">
        <f>M71</f>
        <v>162.40155360000003</v>
      </c>
    </row>
    <row r="69" spans="2:16" x14ac:dyDescent="0.15">
      <c r="D69" s="11">
        <f>INT(D70/15)+1</f>
        <v>252</v>
      </c>
      <c r="E69" s="12"/>
      <c r="F69" s="13">
        <v>1</v>
      </c>
      <c r="G69" s="14" t="s">
        <v>84</v>
      </c>
      <c r="H69" s="15">
        <f>E71+405.7</f>
        <v>4680.0999999999995</v>
      </c>
      <c r="I69" s="15">
        <v>52</v>
      </c>
      <c r="J69" s="16">
        <f>H69*I69/100</f>
        <v>2433.652</v>
      </c>
      <c r="K69" s="15">
        <v>6.31</v>
      </c>
      <c r="L69" s="17">
        <f>J69*K69</f>
        <v>15356.34412</v>
      </c>
      <c r="M69" s="18"/>
      <c r="O69" s="19" t="s">
        <v>84</v>
      </c>
      <c r="P69" s="20">
        <f>L69</f>
        <v>15356.34412</v>
      </c>
    </row>
    <row r="70" spans="2:16" x14ac:dyDescent="0.15">
      <c r="B70" s="1">
        <f>3.14*213.2</f>
        <v>669.44799999999998</v>
      </c>
      <c r="D70" s="11">
        <f>E71-500</f>
        <v>3774.3999999999996</v>
      </c>
      <c r="E70" s="12" t="s">
        <v>21</v>
      </c>
      <c r="F70" s="13">
        <v>2</v>
      </c>
      <c r="G70" s="14" t="s">
        <v>22</v>
      </c>
      <c r="H70" s="15">
        <f>B71*50+B72*D69+3*B70</f>
        <v>204227.71722056836</v>
      </c>
      <c r="I70" s="15">
        <v>1</v>
      </c>
      <c r="J70" s="16">
        <f t="shared" ref="J70:J78" si="8">H70*I70/100</f>
        <v>2042.2771722056837</v>
      </c>
      <c r="K70" s="15">
        <v>0.61699999999999999</v>
      </c>
      <c r="L70" s="17">
        <f t="shared" ref="L70:L78" si="9">J70*K70</f>
        <v>1260.0850152509067</v>
      </c>
      <c r="M70" s="21" t="s">
        <v>23</v>
      </c>
      <c r="O70" s="19" t="s">
        <v>75</v>
      </c>
      <c r="P70" s="20">
        <f>L72</f>
        <v>522.77610000000004</v>
      </c>
    </row>
    <row r="71" spans="2:16" x14ac:dyDescent="0.15">
      <c r="B71" s="1">
        <f>(B70*B70+10*10)^0.5</f>
        <v>669.52268423407429</v>
      </c>
      <c r="D71" s="11">
        <f>INT(E71/200)</f>
        <v>21</v>
      </c>
      <c r="E71" s="22">
        <v>4274.3999999999996</v>
      </c>
      <c r="F71" s="13">
        <v>3</v>
      </c>
      <c r="G71" s="14" t="s">
        <v>24</v>
      </c>
      <c r="H71" s="15">
        <v>707.8</v>
      </c>
      <c r="I71" s="15">
        <v>16</v>
      </c>
      <c r="J71" s="16">
        <f t="shared" si="8"/>
        <v>113.24799999999999</v>
      </c>
      <c r="K71" s="15">
        <v>0.88800000000000001</v>
      </c>
      <c r="L71" s="17">
        <f t="shared" si="9"/>
        <v>100.564224</v>
      </c>
      <c r="M71" s="23">
        <f>3.14*1.1*1.1*E71/100</f>
        <v>162.40155360000003</v>
      </c>
      <c r="O71" s="19" t="s">
        <v>22</v>
      </c>
      <c r="P71" s="20">
        <f>L70</f>
        <v>1260.0850152509067</v>
      </c>
    </row>
    <row r="72" spans="2:16" ht="15" thickBot="1" x14ac:dyDescent="0.2">
      <c r="B72" s="1">
        <f>(B70*B70+15*15)^0.5</f>
        <v>669.61602781295483</v>
      </c>
      <c r="C72" s="26">
        <f>(C73*C73+20*20)^0.5</f>
        <v>751.35423319763095</v>
      </c>
      <c r="E72" s="27"/>
      <c r="F72" s="13">
        <v>4</v>
      </c>
      <c r="G72" s="14" t="s">
        <v>20</v>
      </c>
      <c r="H72" s="15">
        <v>646.6</v>
      </c>
      <c r="I72" s="15">
        <f>D71</f>
        <v>21</v>
      </c>
      <c r="J72" s="16">
        <f t="shared" si="8"/>
        <v>135.786</v>
      </c>
      <c r="K72" s="15">
        <v>3.85</v>
      </c>
      <c r="L72" s="17">
        <f t="shared" si="9"/>
        <v>522.77610000000004</v>
      </c>
      <c r="M72" s="28"/>
      <c r="O72" s="24" t="s">
        <v>24</v>
      </c>
      <c r="P72" s="25">
        <f>L71</f>
        <v>100.564224</v>
      </c>
    </row>
    <row r="73" spans="2:16" x14ac:dyDescent="0.15">
      <c r="B73" s="44">
        <f>250-6*2+1+0.2</f>
        <v>239.2</v>
      </c>
      <c r="C73" s="1">
        <f>3.14*B73</f>
        <v>751.08799999999997</v>
      </c>
      <c r="E73" s="30"/>
      <c r="F73" s="13">
        <v>5</v>
      </c>
      <c r="G73" s="14" t="s">
        <v>84</v>
      </c>
      <c r="H73" s="15">
        <f>E75-6+0.9</f>
        <v>2194.9</v>
      </c>
      <c r="I73" s="15">
        <v>52</v>
      </c>
      <c r="J73" s="16">
        <f t="shared" si="8"/>
        <v>1141.348</v>
      </c>
      <c r="K73" s="15">
        <v>6.31</v>
      </c>
      <c r="L73" s="17">
        <f t="shared" si="9"/>
        <v>7201.9058799999993</v>
      </c>
      <c r="M73" s="31"/>
      <c r="O73" s="29" t="s">
        <v>25</v>
      </c>
      <c r="P73" s="10">
        <f>M75</f>
        <v>107.9375</v>
      </c>
    </row>
    <row r="74" spans="2:16" x14ac:dyDescent="0.15">
      <c r="B74" s="1">
        <f>B73-20</f>
        <v>219.2</v>
      </c>
      <c r="C74" s="26">
        <f>(C73*C73+10*10)^0.5</f>
        <v>751.15456714580387</v>
      </c>
      <c r="E74" s="32" t="s">
        <v>77</v>
      </c>
      <c r="F74" s="13">
        <v>6</v>
      </c>
      <c r="G74" s="14" t="s">
        <v>24</v>
      </c>
      <c r="H74" s="15">
        <v>717.2</v>
      </c>
      <c r="I74" s="15">
        <v>22</v>
      </c>
      <c r="J74" s="16">
        <f t="shared" si="8"/>
        <v>157.78400000000002</v>
      </c>
      <c r="K74" s="15">
        <v>0.88800000000000001</v>
      </c>
      <c r="L74" s="17">
        <f t="shared" si="9"/>
        <v>140.11219200000002</v>
      </c>
      <c r="M74" s="33" t="s">
        <v>78</v>
      </c>
      <c r="O74" s="19" t="s">
        <v>84</v>
      </c>
      <c r="P74" s="20">
        <f>L73</f>
        <v>7201.9058799999993</v>
      </c>
    </row>
    <row r="75" spans="2:16" x14ac:dyDescent="0.15">
      <c r="B75" s="1">
        <f>(B73+B74)/2</f>
        <v>229.2</v>
      </c>
      <c r="C75" s="45">
        <f>E75-226-100-600</f>
        <v>1274</v>
      </c>
      <c r="D75" s="11">
        <f>INT(E75/200)-1</f>
        <v>10</v>
      </c>
      <c r="E75" s="34">
        <v>2200</v>
      </c>
      <c r="F75" s="13">
        <v>7</v>
      </c>
      <c r="G75" s="14" t="s">
        <v>20</v>
      </c>
      <c r="H75" s="15">
        <v>728.3</v>
      </c>
      <c r="I75" s="15">
        <f>D75</f>
        <v>10</v>
      </c>
      <c r="J75" s="16">
        <f t="shared" si="8"/>
        <v>72.83</v>
      </c>
      <c r="K75" s="15">
        <v>3.85</v>
      </c>
      <c r="L75" s="17">
        <f t="shared" si="9"/>
        <v>280.39550000000003</v>
      </c>
      <c r="M75" s="35">
        <f>3.14*1.25*1.25*E75/100</f>
        <v>107.9375</v>
      </c>
      <c r="O75" s="19" t="s">
        <v>20</v>
      </c>
      <c r="P75" s="20">
        <f>L75+L78</f>
        <v>508.50800000000004</v>
      </c>
    </row>
    <row r="76" spans="2:16" x14ac:dyDescent="0.15">
      <c r="B76" s="1">
        <f>3.14*B75</f>
        <v>719.68799999999999</v>
      </c>
      <c r="C76" s="11">
        <f>INT(C75/20)+1</f>
        <v>64</v>
      </c>
      <c r="D76" s="11">
        <f>INT(E75/400)</f>
        <v>5</v>
      </c>
      <c r="E76" s="36"/>
      <c r="F76" s="13">
        <v>8</v>
      </c>
      <c r="G76" s="14" t="s">
        <v>22</v>
      </c>
      <c r="H76" s="15">
        <f>B77*10+C74*60+C72*C76+C73+3.14*B74</f>
        <v>101792.89566536731</v>
      </c>
      <c r="I76" s="15">
        <v>1</v>
      </c>
      <c r="J76" s="16">
        <f t="shared" si="8"/>
        <v>1017.9289566536731</v>
      </c>
      <c r="K76" s="15">
        <v>0.61699999999999999</v>
      </c>
      <c r="L76" s="17">
        <f t="shared" si="9"/>
        <v>628.06216625531636</v>
      </c>
      <c r="M76" s="31"/>
      <c r="O76" s="19" t="s">
        <v>22</v>
      </c>
      <c r="P76" s="20">
        <f>L76</f>
        <v>628.06216625531636</v>
      </c>
    </row>
    <row r="77" spans="2:16" x14ac:dyDescent="0.15">
      <c r="B77" s="26">
        <f>(B76*B76+10*10)^0.5</f>
        <v>719.75747119706921</v>
      </c>
      <c r="E77" s="36"/>
      <c r="F77" s="13">
        <v>9</v>
      </c>
      <c r="G77" s="14" t="s">
        <v>80</v>
      </c>
      <c r="H77" s="15">
        <v>42.2</v>
      </c>
      <c r="I77" s="15">
        <f>D76*4</f>
        <v>20</v>
      </c>
      <c r="J77" s="16">
        <f t="shared" si="8"/>
        <v>8.44</v>
      </c>
      <c r="K77" s="15">
        <v>1.58</v>
      </c>
      <c r="L77" s="17">
        <f t="shared" si="9"/>
        <v>13.3352</v>
      </c>
      <c r="M77" s="31"/>
      <c r="O77" s="19" t="s">
        <v>24</v>
      </c>
      <c r="P77" s="20">
        <f>L74</f>
        <v>140.11219200000002</v>
      </c>
    </row>
    <row r="78" spans="2:16" ht="15" thickBot="1" x14ac:dyDescent="0.2">
      <c r="E78" s="37"/>
      <c r="F78" s="38">
        <v>10</v>
      </c>
      <c r="G78" s="39" t="s">
        <v>20</v>
      </c>
      <c r="H78" s="40">
        <v>197.5</v>
      </c>
      <c r="I78" s="40">
        <f>I75*3</f>
        <v>30</v>
      </c>
      <c r="J78" s="41">
        <f t="shared" si="8"/>
        <v>59.25</v>
      </c>
      <c r="K78" s="40">
        <v>3.85</v>
      </c>
      <c r="L78" s="42">
        <f t="shared" si="9"/>
        <v>228.11250000000001</v>
      </c>
      <c r="M78" s="43"/>
      <c r="O78" s="24" t="s">
        <v>81</v>
      </c>
      <c r="P78" s="25">
        <f>L77</f>
        <v>13.3352</v>
      </c>
    </row>
    <row r="80" spans="2:16" s="46" customFormat="1" x14ac:dyDescent="0.15"/>
    <row r="82" spans="2:16" x14ac:dyDescent="0.15">
      <c r="D82" s="63" t="s">
        <v>85</v>
      </c>
      <c r="E82" s="63"/>
      <c r="F82" s="63"/>
      <c r="G82" s="63"/>
      <c r="H82" s="63"/>
    </row>
    <row r="83" spans="2:16" ht="15" thickBot="1" x14ac:dyDescent="0.2">
      <c r="O83" s="64" t="s">
        <v>9</v>
      </c>
      <c r="P83" s="64"/>
    </row>
    <row r="84" spans="2:16" x14ac:dyDescent="0.15">
      <c r="E84" s="4" t="s">
        <v>10</v>
      </c>
      <c r="F84" s="5" t="s">
        <v>11</v>
      </c>
      <c r="G84" s="6" t="s">
        <v>12</v>
      </c>
      <c r="H84" s="6" t="s">
        <v>13</v>
      </c>
      <c r="I84" s="7" t="s">
        <v>14</v>
      </c>
      <c r="J84" s="6" t="s">
        <v>15</v>
      </c>
      <c r="K84" s="6" t="s">
        <v>16</v>
      </c>
      <c r="L84" s="6" t="s">
        <v>17</v>
      </c>
      <c r="M84" s="8" t="s">
        <v>18</v>
      </c>
      <c r="O84" s="9" t="s">
        <v>19</v>
      </c>
      <c r="P84" s="10">
        <f>M87</f>
        <v>32.753340000000001</v>
      </c>
    </row>
    <row r="85" spans="2:16" x14ac:dyDescent="0.15">
      <c r="D85" s="11">
        <f>INT(D86/15)+1</f>
        <v>91</v>
      </c>
      <c r="E85" s="12"/>
      <c r="F85" s="13">
        <v>1</v>
      </c>
      <c r="G85" s="14" t="s">
        <v>20</v>
      </c>
      <c r="H85" s="15">
        <f>E87+335.9</f>
        <v>2190.3000000000002</v>
      </c>
      <c r="I85" s="15">
        <v>36</v>
      </c>
      <c r="J85" s="16">
        <f>H85*I85/100</f>
        <v>788.50800000000004</v>
      </c>
      <c r="K85" s="15">
        <v>3.85</v>
      </c>
      <c r="L85" s="17">
        <f>J85*K85</f>
        <v>3035.7558000000004</v>
      </c>
      <c r="M85" s="18"/>
      <c r="O85" s="19" t="s">
        <v>20</v>
      </c>
      <c r="P85" s="20">
        <f>L85+L88</f>
        <v>3185.2012500000005</v>
      </c>
    </row>
    <row r="86" spans="2:16" x14ac:dyDescent="0.15">
      <c r="B86" s="1">
        <f>3.14*143.2</f>
        <v>449.64799999999997</v>
      </c>
      <c r="D86" s="11">
        <f>E87-500</f>
        <v>1354.4</v>
      </c>
      <c r="E86" s="12" t="s">
        <v>21</v>
      </c>
      <c r="F86" s="13">
        <v>2</v>
      </c>
      <c r="G86" s="14" t="s">
        <v>22</v>
      </c>
      <c r="H86" s="15">
        <f>B87*50+B88*D85+3*B86</f>
        <v>64777.632696034736</v>
      </c>
      <c r="I86" s="15">
        <v>1</v>
      </c>
      <c r="J86" s="16">
        <f t="shared" ref="J86:J94" si="10">H86*I86/100</f>
        <v>647.77632696034732</v>
      </c>
      <c r="K86" s="15">
        <v>0.61699999999999999</v>
      </c>
      <c r="L86" s="17">
        <f t="shared" ref="L86:L94" si="11">J86*K86</f>
        <v>399.67799373453431</v>
      </c>
      <c r="M86" s="21" t="s">
        <v>23</v>
      </c>
      <c r="O86" s="19" t="s">
        <v>22</v>
      </c>
      <c r="P86" s="20">
        <f>L86</f>
        <v>399.67799373453431</v>
      </c>
    </row>
    <row r="87" spans="2:16" ht="15" thickBot="1" x14ac:dyDescent="0.2">
      <c r="B87" s="1">
        <f>(B86*B86+10*10)^0.5</f>
        <v>449.75918434646775</v>
      </c>
      <c r="D87" s="11">
        <f>INT(E87/200)</f>
        <v>9</v>
      </c>
      <c r="E87" s="22">
        <v>1854.4</v>
      </c>
      <c r="F87" s="13">
        <v>3</v>
      </c>
      <c r="G87" s="14" t="s">
        <v>24</v>
      </c>
      <c r="H87" s="15">
        <v>487.9</v>
      </c>
      <c r="I87" s="15">
        <v>16</v>
      </c>
      <c r="J87" s="16">
        <f t="shared" si="10"/>
        <v>78.063999999999993</v>
      </c>
      <c r="K87" s="15">
        <v>0.88800000000000001</v>
      </c>
      <c r="L87" s="17">
        <f t="shared" si="11"/>
        <v>69.320831999999996</v>
      </c>
      <c r="M87" s="23">
        <f>3.14*0.75*0.75*E87/100</f>
        <v>32.753340000000001</v>
      </c>
      <c r="O87" s="24" t="s">
        <v>24</v>
      </c>
      <c r="P87" s="25">
        <f>L87</f>
        <v>69.320831999999996</v>
      </c>
    </row>
    <row r="88" spans="2:16" x14ac:dyDescent="0.15">
      <c r="B88" s="1">
        <f>(B86*B86+15*15)^0.5</f>
        <v>449.89812613968508</v>
      </c>
      <c r="C88" s="26">
        <f>(C89*C89+20*20)^0.5</f>
        <v>531.66431039143481</v>
      </c>
      <c r="E88" s="27"/>
      <c r="F88" s="13">
        <v>4</v>
      </c>
      <c r="G88" s="14" t="s">
        <v>20</v>
      </c>
      <c r="H88" s="15">
        <f>431.3</f>
        <v>431.3</v>
      </c>
      <c r="I88" s="15">
        <f>D87</f>
        <v>9</v>
      </c>
      <c r="J88" s="16">
        <f t="shared" si="10"/>
        <v>38.817</v>
      </c>
      <c r="K88" s="15">
        <v>3.85</v>
      </c>
      <c r="L88" s="17">
        <f t="shared" si="11"/>
        <v>149.44544999999999</v>
      </c>
      <c r="M88" s="28"/>
      <c r="O88" s="29" t="s">
        <v>25</v>
      </c>
      <c r="P88" s="10">
        <f>M91</f>
        <v>43.2378</v>
      </c>
    </row>
    <row r="89" spans="2:16" x14ac:dyDescent="0.15">
      <c r="B89" s="1">
        <f>180-6*2+1+0.2</f>
        <v>169.2</v>
      </c>
      <c r="C89" s="1">
        <f>3.14*B89</f>
        <v>531.28800000000001</v>
      </c>
      <c r="E89" s="30"/>
      <c r="F89" s="13">
        <v>5</v>
      </c>
      <c r="G89" s="14" t="s">
        <v>20</v>
      </c>
      <c r="H89" s="15">
        <f>E91-6+1.1</f>
        <v>1695.1</v>
      </c>
      <c r="I89" s="15">
        <v>36</v>
      </c>
      <c r="J89" s="16">
        <f t="shared" si="10"/>
        <v>610.23599999999999</v>
      </c>
      <c r="K89" s="15">
        <v>3.85</v>
      </c>
      <c r="L89" s="17">
        <f t="shared" si="11"/>
        <v>2349.4086000000002</v>
      </c>
      <c r="M89" s="31"/>
      <c r="O89" s="19" t="s">
        <v>20</v>
      </c>
      <c r="P89" s="20">
        <f>L89+L91+L94</f>
        <v>2599.3159500000002</v>
      </c>
    </row>
    <row r="90" spans="2:16" x14ac:dyDescent="0.15">
      <c r="B90" s="1">
        <f>B89-20</f>
        <v>149.19999999999999</v>
      </c>
      <c r="C90" s="26">
        <f>(C89*C89+10*10)^0.5</f>
        <v>531.38210258156039</v>
      </c>
      <c r="E90" s="32" t="s">
        <v>77</v>
      </c>
      <c r="F90" s="13">
        <v>6</v>
      </c>
      <c r="G90" s="14" t="s">
        <v>24</v>
      </c>
      <c r="H90" s="15">
        <v>497.3</v>
      </c>
      <c r="I90" s="15">
        <v>15</v>
      </c>
      <c r="J90" s="16">
        <f t="shared" si="10"/>
        <v>74.594999999999999</v>
      </c>
      <c r="K90" s="15">
        <v>0.88800000000000001</v>
      </c>
      <c r="L90" s="17">
        <f t="shared" si="11"/>
        <v>66.240359999999995</v>
      </c>
      <c r="M90" s="33" t="s">
        <v>78</v>
      </c>
      <c r="O90" s="19" t="s">
        <v>22</v>
      </c>
      <c r="P90" s="20">
        <f>L92</f>
        <v>374.7913908507436</v>
      </c>
    </row>
    <row r="91" spans="2:16" x14ac:dyDescent="0.15">
      <c r="B91" s="1">
        <f>(B89+B90)/2</f>
        <v>159.19999999999999</v>
      </c>
      <c r="C91" s="11">
        <f>E91-156-100-600</f>
        <v>844</v>
      </c>
      <c r="D91" s="11">
        <f>INT(E91/200)-1</f>
        <v>7</v>
      </c>
      <c r="E91" s="34">
        <v>1700</v>
      </c>
      <c r="F91" s="13">
        <v>7</v>
      </c>
      <c r="G91" s="14" t="s">
        <v>20</v>
      </c>
      <c r="H91" s="15">
        <v>513</v>
      </c>
      <c r="I91" s="15">
        <f>D91</f>
        <v>7</v>
      </c>
      <c r="J91" s="16">
        <f t="shared" si="10"/>
        <v>35.909999999999997</v>
      </c>
      <c r="K91" s="15">
        <v>3.85</v>
      </c>
      <c r="L91" s="17">
        <f t="shared" si="11"/>
        <v>138.2535</v>
      </c>
      <c r="M91" s="35">
        <f>3.14*0.9*0.9*E91/100</f>
        <v>43.2378</v>
      </c>
      <c r="O91" s="19" t="s">
        <v>24</v>
      </c>
      <c r="P91" s="20">
        <f>L90</f>
        <v>66.240359999999995</v>
      </c>
    </row>
    <row r="92" spans="2:16" ht="15" thickBot="1" x14ac:dyDescent="0.2">
      <c r="B92" s="1">
        <f>3.14*B91</f>
        <v>499.88799999999998</v>
      </c>
      <c r="C92" s="11">
        <f>INT(C91/20)+1</f>
        <v>43</v>
      </c>
      <c r="D92" s="11">
        <f>INT(E91/400)</f>
        <v>4</v>
      </c>
      <c r="E92" s="36"/>
      <c r="F92" s="13">
        <v>8</v>
      </c>
      <c r="G92" s="14" t="s">
        <v>22</v>
      </c>
      <c r="H92" s="15">
        <f>B93*10+C90*60+C88*C92+C89+3.14*B90</f>
        <v>60744.147625728292</v>
      </c>
      <c r="I92" s="15">
        <v>1</v>
      </c>
      <c r="J92" s="16">
        <f t="shared" si="10"/>
        <v>607.44147625728294</v>
      </c>
      <c r="K92" s="15">
        <v>0.61699999999999999</v>
      </c>
      <c r="L92" s="17">
        <f t="shared" si="11"/>
        <v>374.7913908507436</v>
      </c>
      <c r="M92" s="31"/>
      <c r="O92" s="24" t="s">
        <v>81</v>
      </c>
      <c r="P92" s="25">
        <f>L93</f>
        <v>10.668160000000002</v>
      </c>
    </row>
    <row r="93" spans="2:16" x14ac:dyDescent="0.15">
      <c r="B93" s="26">
        <f>(B92*B92+10*10)^0.5</f>
        <v>499.98801240029741</v>
      </c>
      <c r="E93" s="36"/>
      <c r="F93" s="13">
        <v>9</v>
      </c>
      <c r="G93" s="14" t="s">
        <v>80</v>
      </c>
      <c r="H93" s="15">
        <v>42.2</v>
      </c>
      <c r="I93" s="15">
        <f>D92*4</f>
        <v>16</v>
      </c>
      <c r="J93" s="16">
        <f t="shared" si="10"/>
        <v>6.7520000000000007</v>
      </c>
      <c r="K93" s="15">
        <v>1.58</v>
      </c>
      <c r="L93" s="17">
        <f t="shared" si="11"/>
        <v>10.668160000000002</v>
      </c>
      <c r="M93" s="31"/>
    </row>
    <row r="94" spans="2:16" ht="15" thickBot="1" x14ac:dyDescent="0.2">
      <c r="E94" s="37"/>
      <c r="F94" s="38">
        <v>10</v>
      </c>
      <c r="G94" s="39" t="s">
        <v>20</v>
      </c>
      <c r="H94" s="40">
        <v>138.1</v>
      </c>
      <c r="I94" s="40">
        <f>I91*3</f>
        <v>21</v>
      </c>
      <c r="J94" s="41">
        <f t="shared" si="10"/>
        <v>29.000999999999998</v>
      </c>
      <c r="K94" s="40">
        <v>3.85</v>
      </c>
      <c r="L94" s="42">
        <f t="shared" si="11"/>
        <v>111.65384999999999</v>
      </c>
      <c r="M94" s="43"/>
    </row>
    <row r="95" spans="2:16" x14ac:dyDescent="0.15">
      <c r="I95" s="11"/>
    </row>
    <row r="98" spans="2:16" x14ac:dyDescent="0.15">
      <c r="D98" s="63" t="s">
        <v>86</v>
      </c>
      <c r="E98" s="63"/>
      <c r="F98" s="63"/>
      <c r="G98" s="63"/>
      <c r="H98" s="63"/>
      <c r="I98" s="47" t="s">
        <v>87</v>
      </c>
    </row>
    <row r="99" spans="2:16" ht="15" thickBot="1" x14ac:dyDescent="0.2">
      <c r="I99" s="11"/>
      <c r="O99" s="64" t="s">
        <v>9</v>
      </c>
      <c r="P99" s="64"/>
    </row>
    <row r="100" spans="2:16" x14ac:dyDescent="0.15">
      <c r="E100" s="4" t="s">
        <v>10</v>
      </c>
      <c r="F100" s="5" t="s">
        <v>11</v>
      </c>
      <c r="G100" s="6" t="s">
        <v>12</v>
      </c>
      <c r="H100" s="6" t="s">
        <v>13</v>
      </c>
      <c r="I100" s="7" t="s">
        <v>14</v>
      </c>
      <c r="J100" s="6" t="s">
        <v>15</v>
      </c>
      <c r="K100" s="6" t="s">
        <v>16</v>
      </c>
      <c r="L100" s="6" t="s">
        <v>17</v>
      </c>
      <c r="M100" s="8" t="s">
        <v>18</v>
      </c>
      <c r="O100" s="9" t="s">
        <v>19</v>
      </c>
      <c r="P100" s="10">
        <f>M103</f>
        <v>103.62</v>
      </c>
    </row>
    <row r="101" spans="2:16" x14ac:dyDescent="0.15">
      <c r="D101" s="11">
        <f>INT(D102/15)+1</f>
        <v>187</v>
      </c>
      <c r="E101" s="12"/>
      <c r="F101" s="13">
        <v>1</v>
      </c>
      <c r="G101" s="14" t="s">
        <v>76</v>
      </c>
      <c r="H101" s="15">
        <f>E103+385.4</f>
        <v>3685.4</v>
      </c>
      <c r="I101" s="15">
        <v>50</v>
      </c>
      <c r="J101" s="16">
        <f>H101*I101/100</f>
        <v>1842.7</v>
      </c>
      <c r="K101" s="15">
        <v>4.83</v>
      </c>
      <c r="L101" s="17">
        <f>J101*K101</f>
        <v>8900.241</v>
      </c>
      <c r="M101" s="18"/>
      <c r="O101" s="19" t="s">
        <v>79</v>
      </c>
      <c r="P101" s="20">
        <f>L101</f>
        <v>8900.241</v>
      </c>
    </row>
    <row r="102" spans="2:16" x14ac:dyDescent="0.15">
      <c r="B102" s="1">
        <f>3.14*193.2</f>
        <v>606.64800000000002</v>
      </c>
      <c r="D102" s="11">
        <f>E103-500</f>
        <v>2800</v>
      </c>
      <c r="E102" s="12" t="s">
        <v>21</v>
      </c>
      <c r="F102" s="13">
        <v>2</v>
      </c>
      <c r="G102" s="14" t="s">
        <v>22</v>
      </c>
      <c r="H102" s="15">
        <f>B103*50+B104*D101+3*B102</f>
        <v>145634.31369208949</v>
      </c>
      <c r="I102" s="15">
        <v>1</v>
      </c>
      <c r="J102" s="16">
        <f t="shared" ref="J102:J110" si="12">H102*I102/100</f>
        <v>1456.3431369208949</v>
      </c>
      <c r="K102" s="15">
        <v>0.61699999999999999</v>
      </c>
      <c r="L102" s="17">
        <f t="shared" ref="L102:L110" si="13">J102*K102</f>
        <v>898.56371548019217</v>
      </c>
      <c r="M102" s="21" t="s">
        <v>23</v>
      </c>
      <c r="O102" s="19" t="s">
        <v>75</v>
      </c>
      <c r="P102" s="20">
        <f>L104</f>
        <v>361.22239999999999</v>
      </c>
    </row>
    <row r="103" spans="2:16" x14ac:dyDescent="0.15">
      <c r="B103" s="1">
        <f>(B102*B102+10*10)^0.5</f>
        <v>606.73041452032055</v>
      </c>
      <c r="D103" s="11">
        <f>INT(E103/200)</f>
        <v>16</v>
      </c>
      <c r="E103" s="22">
        <v>3300</v>
      </c>
      <c r="F103" s="13">
        <v>3</v>
      </c>
      <c r="G103" s="14" t="s">
        <v>24</v>
      </c>
      <c r="H103" s="15">
        <v>645</v>
      </c>
      <c r="I103" s="15">
        <v>16</v>
      </c>
      <c r="J103" s="16">
        <f t="shared" si="12"/>
        <v>103.2</v>
      </c>
      <c r="K103" s="15">
        <v>0.88800000000000001</v>
      </c>
      <c r="L103" s="17">
        <f t="shared" si="13"/>
        <v>91.641599999999997</v>
      </c>
      <c r="M103" s="23">
        <f>3.14*1*1*E103/100</f>
        <v>103.62</v>
      </c>
      <c r="O103" s="19" t="s">
        <v>22</v>
      </c>
      <c r="P103" s="20">
        <f>L102</f>
        <v>898.56371548019217</v>
      </c>
    </row>
    <row r="104" spans="2:16" ht="15" thickBot="1" x14ac:dyDescent="0.2">
      <c r="B104" s="1">
        <f>(B102*B102+15*15)^0.5</f>
        <v>606.83341693087414</v>
      </c>
      <c r="C104" s="26">
        <f>(C105*C105+20*20)^0.5</f>
        <v>657.19239537900933</v>
      </c>
      <c r="E104" s="27"/>
      <c r="F104" s="13">
        <v>4</v>
      </c>
      <c r="G104" s="14" t="s">
        <v>88</v>
      </c>
      <c r="H104" s="15">
        <v>586.4</v>
      </c>
      <c r="I104" s="15">
        <f>D103</f>
        <v>16</v>
      </c>
      <c r="J104" s="16">
        <f t="shared" si="12"/>
        <v>93.823999999999998</v>
      </c>
      <c r="K104" s="15">
        <v>3.85</v>
      </c>
      <c r="L104" s="17">
        <f t="shared" si="13"/>
        <v>361.22239999999999</v>
      </c>
      <c r="M104" s="28"/>
      <c r="O104" s="24" t="s">
        <v>89</v>
      </c>
      <c r="P104" s="25">
        <f>L103</f>
        <v>91.641599999999997</v>
      </c>
    </row>
    <row r="105" spans="2:16" x14ac:dyDescent="0.15">
      <c r="B105" s="1">
        <f>220-6*2+1+0.2</f>
        <v>209.2</v>
      </c>
      <c r="C105" s="1">
        <f>3.14*B105</f>
        <v>656.88800000000003</v>
      </c>
      <c r="E105" s="30"/>
      <c r="F105" s="13">
        <v>5</v>
      </c>
      <c r="G105" s="14" t="s">
        <v>90</v>
      </c>
      <c r="H105" s="15">
        <f>E107-6+0.7</f>
        <v>2394.6999999999998</v>
      </c>
      <c r="I105" s="15">
        <v>50</v>
      </c>
      <c r="J105" s="16">
        <f t="shared" si="12"/>
        <v>1197.3499999999999</v>
      </c>
      <c r="K105" s="15">
        <v>4.83</v>
      </c>
      <c r="L105" s="17">
        <f t="shared" si="13"/>
        <v>5783.2004999999999</v>
      </c>
      <c r="M105" s="31"/>
      <c r="O105" s="29" t="s">
        <v>91</v>
      </c>
      <c r="P105" s="10">
        <f>M107</f>
        <v>91.185600000000008</v>
      </c>
    </row>
    <row r="106" spans="2:16" x14ac:dyDescent="0.15">
      <c r="B106" s="1">
        <f>B105-20</f>
        <v>189.2</v>
      </c>
      <c r="C106" s="26">
        <f>(C105*C105+10*10)^0.5</f>
        <v>656.96411206701396</v>
      </c>
      <c r="E106" s="32" t="s">
        <v>92</v>
      </c>
      <c r="F106" s="13">
        <v>6</v>
      </c>
      <c r="G106" s="14" t="s">
        <v>93</v>
      </c>
      <c r="H106" s="15">
        <v>638.70000000000005</v>
      </c>
      <c r="I106" s="15">
        <v>20</v>
      </c>
      <c r="J106" s="16">
        <f t="shared" si="12"/>
        <v>127.74</v>
      </c>
      <c r="K106" s="15">
        <v>0.88800000000000001</v>
      </c>
      <c r="L106" s="17">
        <f t="shared" si="13"/>
        <v>113.43312</v>
      </c>
      <c r="M106" s="33" t="s">
        <v>94</v>
      </c>
      <c r="O106" s="19" t="s">
        <v>95</v>
      </c>
      <c r="P106" s="20">
        <f>L105</f>
        <v>5783.2004999999999</v>
      </c>
    </row>
    <row r="107" spans="2:16" x14ac:dyDescent="0.15">
      <c r="B107" s="1">
        <f>(B105+B106)/2</f>
        <v>199.2</v>
      </c>
      <c r="C107" s="11">
        <f>E107-186-100-600</f>
        <v>1514</v>
      </c>
      <c r="D107" s="11">
        <f>INT(E107/200)-1</f>
        <v>11</v>
      </c>
      <c r="E107" s="34">
        <v>2400</v>
      </c>
      <c r="F107" s="13">
        <v>7</v>
      </c>
      <c r="G107" s="14" t="s">
        <v>20</v>
      </c>
      <c r="H107" s="15">
        <v>636.70000000000005</v>
      </c>
      <c r="I107" s="15">
        <f>D107</f>
        <v>11</v>
      </c>
      <c r="J107" s="16">
        <f t="shared" si="12"/>
        <v>70.037000000000006</v>
      </c>
      <c r="K107" s="15">
        <v>3.85</v>
      </c>
      <c r="L107" s="17">
        <f t="shared" si="13"/>
        <v>269.64245000000005</v>
      </c>
      <c r="M107" s="35">
        <f>3.14*1.1*1.1*E107/100</f>
        <v>91.185600000000008</v>
      </c>
      <c r="O107" s="19" t="s">
        <v>20</v>
      </c>
      <c r="P107" s="20">
        <f>L107+L110</f>
        <v>466.44290000000001</v>
      </c>
    </row>
    <row r="108" spans="2:16" x14ac:dyDescent="0.15">
      <c r="B108" s="1">
        <f>3.14*B107</f>
        <v>625.48799999999994</v>
      </c>
      <c r="C108" s="11">
        <f>INT(C107/20)+1</f>
        <v>76</v>
      </c>
      <c r="D108" s="11">
        <f>INT(E107/400)</f>
        <v>6</v>
      </c>
      <c r="E108" s="36"/>
      <c r="F108" s="13">
        <v>8</v>
      </c>
      <c r="G108" s="14" t="s">
        <v>22</v>
      </c>
      <c r="H108" s="15">
        <f>B109*10+C106*60+C104*C108+C105+3.14*B106</f>
        <v>96871.124097599168</v>
      </c>
      <c r="I108" s="15">
        <v>1</v>
      </c>
      <c r="J108" s="16">
        <f t="shared" si="12"/>
        <v>968.7112409759917</v>
      </c>
      <c r="K108" s="15">
        <v>0.61699999999999999</v>
      </c>
      <c r="L108" s="17">
        <f t="shared" si="13"/>
        <v>597.69483568218686</v>
      </c>
      <c r="M108" s="31"/>
      <c r="O108" s="19" t="s">
        <v>22</v>
      </c>
      <c r="P108" s="20">
        <f>L108</f>
        <v>597.69483568218686</v>
      </c>
    </row>
    <row r="109" spans="2:16" x14ac:dyDescent="0.15">
      <c r="B109" s="26">
        <f>(B108*B108+10*10)^0.5</f>
        <v>625.56793247736084</v>
      </c>
      <c r="E109" s="36"/>
      <c r="F109" s="13">
        <v>9</v>
      </c>
      <c r="G109" s="14" t="s">
        <v>96</v>
      </c>
      <c r="H109" s="15">
        <v>42.2</v>
      </c>
      <c r="I109" s="15">
        <f>D108*4</f>
        <v>24</v>
      </c>
      <c r="J109" s="16">
        <f t="shared" si="12"/>
        <v>10.128</v>
      </c>
      <c r="K109" s="15">
        <v>1.58</v>
      </c>
      <c r="L109" s="17">
        <f t="shared" si="13"/>
        <v>16.00224</v>
      </c>
      <c r="M109" s="31"/>
      <c r="O109" s="19" t="s">
        <v>97</v>
      </c>
      <c r="P109" s="20">
        <f>L106</f>
        <v>113.43312</v>
      </c>
    </row>
    <row r="110" spans="2:16" ht="15" thickBot="1" x14ac:dyDescent="0.2">
      <c r="E110" s="37"/>
      <c r="F110" s="38">
        <v>10</v>
      </c>
      <c r="G110" s="39" t="s">
        <v>98</v>
      </c>
      <c r="H110" s="40">
        <v>154.9</v>
      </c>
      <c r="I110" s="40">
        <f>I107*3</f>
        <v>33</v>
      </c>
      <c r="J110" s="41">
        <f t="shared" si="12"/>
        <v>51.116999999999997</v>
      </c>
      <c r="K110" s="40">
        <v>3.85</v>
      </c>
      <c r="L110" s="42">
        <f t="shared" si="13"/>
        <v>196.80044999999998</v>
      </c>
      <c r="M110" s="43"/>
      <c r="O110" s="24" t="s">
        <v>99</v>
      </c>
      <c r="P110" s="25">
        <f>L109</f>
        <v>16.00224</v>
      </c>
    </row>
    <row r="113" spans="2:16" x14ac:dyDescent="0.15">
      <c r="D113" s="63" t="s">
        <v>100</v>
      </c>
      <c r="E113" s="63"/>
      <c r="F113" s="63"/>
      <c r="G113" s="63"/>
      <c r="H113" s="63"/>
      <c r="I113" s="47" t="s">
        <v>101</v>
      </c>
    </row>
    <row r="114" spans="2:16" ht="15" thickBot="1" x14ac:dyDescent="0.2">
      <c r="I114" s="11"/>
      <c r="O114" s="64" t="s">
        <v>102</v>
      </c>
      <c r="P114" s="64"/>
    </row>
    <row r="115" spans="2:16" x14ac:dyDescent="0.15">
      <c r="E115" s="4" t="s">
        <v>103</v>
      </c>
      <c r="F115" s="5" t="s">
        <v>104</v>
      </c>
      <c r="G115" s="6" t="s">
        <v>105</v>
      </c>
      <c r="H115" s="6" t="s">
        <v>106</v>
      </c>
      <c r="I115" s="7" t="s">
        <v>107</v>
      </c>
      <c r="J115" s="6" t="s">
        <v>108</v>
      </c>
      <c r="K115" s="6" t="s">
        <v>109</v>
      </c>
      <c r="L115" s="6" t="s">
        <v>110</v>
      </c>
      <c r="M115" s="8" t="s">
        <v>111</v>
      </c>
      <c r="O115" s="9" t="s">
        <v>112</v>
      </c>
      <c r="P115" s="10">
        <f>M118</f>
        <v>117.57416000000001</v>
      </c>
    </row>
    <row r="116" spans="2:16" x14ac:dyDescent="0.15">
      <c r="D116" s="11">
        <f>INT(D117/15)+1</f>
        <v>217</v>
      </c>
      <c r="E116" s="12"/>
      <c r="F116" s="13">
        <v>1</v>
      </c>
      <c r="G116" s="14" t="s">
        <v>113</v>
      </c>
      <c r="H116" s="15">
        <f>E118+385.4</f>
        <v>4129.8</v>
      </c>
      <c r="I116" s="15">
        <v>56</v>
      </c>
      <c r="J116" s="16">
        <f>H116*I116/100</f>
        <v>2312.6880000000001</v>
      </c>
      <c r="K116" s="15">
        <v>4.83</v>
      </c>
      <c r="L116" s="17">
        <f>J116*K116</f>
        <v>11170.28304</v>
      </c>
      <c r="M116" s="18"/>
      <c r="O116" s="19" t="s">
        <v>114</v>
      </c>
      <c r="P116" s="20">
        <f>L116</f>
        <v>11170.28304</v>
      </c>
    </row>
    <row r="117" spans="2:16" x14ac:dyDescent="0.15">
      <c r="B117" s="1">
        <f>3.14*193.2</f>
        <v>606.64800000000002</v>
      </c>
      <c r="D117" s="11">
        <f>E118-500</f>
        <v>3244.4</v>
      </c>
      <c r="E117" s="12" t="s">
        <v>115</v>
      </c>
      <c r="F117" s="13">
        <v>2</v>
      </c>
      <c r="G117" s="14" t="s">
        <v>116</v>
      </c>
      <c r="H117" s="15">
        <f>B118*50+B119*D116+3*B117</f>
        <v>163839.31620001569</v>
      </c>
      <c r="I117" s="15">
        <v>1</v>
      </c>
      <c r="J117" s="16">
        <f t="shared" ref="J117:J125" si="14">H117*I117/100</f>
        <v>1638.393162000157</v>
      </c>
      <c r="K117" s="15">
        <v>0.61699999999999999</v>
      </c>
      <c r="L117" s="17">
        <f t="shared" ref="L117:L125" si="15">J117*K117</f>
        <v>1010.8885809540968</v>
      </c>
      <c r="M117" s="21" t="s">
        <v>117</v>
      </c>
      <c r="O117" s="19" t="s">
        <v>118</v>
      </c>
      <c r="P117" s="20">
        <f>L119</f>
        <v>406.37520000000001</v>
      </c>
    </row>
    <row r="118" spans="2:16" x14ac:dyDescent="0.15">
      <c r="B118" s="1">
        <f>(B117*B117+10*10)^0.5</f>
        <v>606.73041452032055</v>
      </c>
      <c r="D118" s="11">
        <f>INT(E118/200)</f>
        <v>18</v>
      </c>
      <c r="E118" s="22">
        <v>3744.4</v>
      </c>
      <c r="F118" s="13">
        <v>3</v>
      </c>
      <c r="G118" s="14" t="s">
        <v>119</v>
      </c>
      <c r="H118" s="15">
        <v>645</v>
      </c>
      <c r="I118" s="15">
        <v>16</v>
      </c>
      <c r="J118" s="16">
        <f t="shared" si="14"/>
        <v>103.2</v>
      </c>
      <c r="K118" s="15">
        <v>0.88800000000000001</v>
      </c>
      <c r="L118" s="17">
        <f t="shared" si="15"/>
        <v>91.641599999999997</v>
      </c>
      <c r="M118" s="23">
        <f>3.14*1*1*E118/100</f>
        <v>117.57416000000001</v>
      </c>
      <c r="O118" s="19" t="s">
        <v>120</v>
      </c>
      <c r="P118" s="20">
        <f>L117</f>
        <v>1010.8885809540968</v>
      </c>
    </row>
    <row r="119" spans="2:16" ht="15" thickBot="1" x14ac:dyDescent="0.2">
      <c r="B119" s="1">
        <f>(B117*B117+15*15)^0.5</f>
        <v>606.83341693087414</v>
      </c>
      <c r="C119" s="26">
        <f>(C120*C120+20*20)^0.5</f>
        <v>657.19239537900933</v>
      </c>
      <c r="E119" s="27"/>
      <c r="F119" s="13">
        <v>4</v>
      </c>
      <c r="G119" s="14" t="s">
        <v>98</v>
      </c>
      <c r="H119" s="15">
        <v>586.4</v>
      </c>
      <c r="I119" s="15">
        <f>D118</f>
        <v>18</v>
      </c>
      <c r="J119" s="16">
        <f t="shared" si="14"/>
        <v>105.55199999999999</v>
      </c>
      <c r="K119" s="15">
        <v>3.85</v>
      </c>
      <c r="L119" s="17">
        <f t="shared" si="15"/>
        <v>406.37520000000001</v>
      </c>
      <c r="M119" s="28"/>
      <c r="O119" s="24" t="s">
        <v>119</v>
      </c>
      <c r="P119" s="25">
        <f>L118</f>
        <v>91.641599999999997</v>
      </c>
    </row>
    <row r="120" spans="2:16" x14ac:dyDescent="0.15">
      <c r="B120" s="1">
        <f>220-6*2+1+0.2</f>
        <v>209.2</v>
      </c>
      <c r="C120" s="1">
        <f>3.14*B120</f>
        <v>656.88800000000003</v>
      </c>
      <c r="E120" s="30"/>
      <c r="F120" s="13">
        <v>5</v>
      </c>
      <c r="G120" s="14" t="s">
        <v>121</v>
      </c>
      <c r="H120" s="15">
        <f>E122-6+0.7</f>
        <v>2294.6999999999998</v>
      </c>
      <c r="I120" s="15">
        <v>56</v>
      </c>
      <c r="J120" s="16">
        <f t="shared" si="14"/>
        <v>1285.0319999999999</v>
      </c>
      <c r="K120" s="15">
        <v>4.83</v>
      </c>
      <c r="L120" s="17">
        <f t="shared" si="15"/>
        <v>6206.7045600000001</v>
      </c>
      <c r="M120" s="31"/>
      <c r="O120" s="29" t="s">
        <v>122</v>
      </c>
      <c r="P120" s="10">
        <f>M122</f>
        <v>87.386200000000031</v>
      </c>
    </row>
    <row r="121" spans="2:16" x14ac:dyDescent="0.15">
      <c r="B121" s="1">
        <f>B120-20</f>
        <v>189.2</v>
      </c>
      <c r="C121" s="26">
        <f>(C120*C120+10*10)^0.5</f>
        <v>656.96411206701396</v>
      </c>
      <c r="E121" s="32" t="s">
        <v>123</v>
      </c>
      <c r="F121" s="13">
        <v>6</v>
      </c>
      <c r="G121" s="14" t="s">
        <v>97</v>
      </c>
      <c r="H121" s="15">
        <v>638.70000000000005</v>
      </c>
      <c r="I121" s="15">
        <v>20</v>
      </c>
      <c r="J121" s="16">
        <f t="shared" si="14"/>
        <v>127.74</v>
      </c>
      <c r="K121" s="15">
        <v>0.88800000000000001</v>
      </c>
      <c r="L121" s="17">
        <f t="shared" si="15"/>
        <v>113.43312</v>
      </c>
      <c r="M121" s="33" t="s">
        <v>124</v>
      </c>
      <c r="O121" s="19" t="s">
        <v>125</v>
      </c>
      <c r="P121" s="20">
        <f>L120</f>
        <v>6206.7045600000001</v>
      </c>
    </row>
    <row r="122" spans="2:16" x14ac:dyDescent="0.15">
      <c r="B122" s="1">
        <f>(B120+B121)/2</f>
        <v>199.2</v>
      </c>
      <c r="C122" s="11">
        <f>E122-186-100-600</f>
        <v>1414</v>
      </c>
      <c r="D122" s="11">
        <f>INT(E122/200)-1</f>
        <v>10</v>
      </c>
      <c r="E122" s="34">
        <v>2300</v>
      </c>
      <c r="F122" s="13">
        <v>7</v>
      </c>
      <c r="G122" s="14" t="s">
        <v>126</v>
      </c>
      <c r="H122" s="15">
        <v>636.70000000000005</v>
      </c>
      <c r="I122" s="15">
        <f>D122</f>
        <v>10</v>
      </c>
      <c r="J122" s="16">
        <f t="shared" si="14"/>
        <v>63.67</v>
      </c>
      <c r="K122" s="15">
        <v>3.85</v>
      </c>
      <c r="L122" s="17">
        <f t="shared" si="15"/>
        <v>245.12950000000001</v>
      </c>
      <c r="M122" s="35">
        <f>3.14*1.1*1.1*E122/100</f>
        <v>87.386200000000031</v>
      </c>
      <c r="O122" s="19" t="s">
        <v>126</v>
      </c>
      <c r="P122" s="20">
        <f>L122+L125</f>
        <v>424.03899999999999</v>
      </c>
    </row>
    <row r="123" spans="2:16" x14ac:dyDescent="0.15">
      <c r="B123" s="1">
        <f>3.14*B122</f>
        <v>625.48799999999994</v>
      </c>
      <c r="C123" s="11">
        <f>INT(C122/20)+1</f>
        <v>71</v>
      </c>
      <c r="D123" s="11">
        <f>INT(E122/400)</f>
        <v>5</v>
      </c>
      <c r="E123" s="36"/>
      <c r="F123" s="13">
        <v>8</v>
      </c>
      <c r="G123" s="14" t="s">
        <v>116</v>
      </c>
      <c r="H123" s="15">
        <f>B124*10+C121*60+C119*C123+C120+3.14*B121</f>
        <v>93585.162120704117</v>
      </c>
      <c r="I123" s="15">
        <v>1</v>
      </c>
      <c r="J123" s="16">
        <f t="shared" si="14"/>
        <v>935.85162120704115</v>
      </c>
      <c r="K123" s="15">
        <v>0.61699999999999999</v>
      </c>
      <c r="L123" s="17">
        <f t="shared" si="15"/>
        <v>577.42045028474433</v>
      </c>
      <c r="M123" s="31"/>
      <c r="O123" s="19" t="s">
        <v>116</v>
      </c>
      <c r="P123" s="20">
        <f>L123</f>
        <v>577.42045028474433</v>
      </c>
    </row>
    <row r="124" spans="2:16" x14ac:dyDescent="0.15">
      <c r="B124" s="26">
        <f>(B123*B123+10*10)^0.5</f>
        <v>625.56793247736084</v>
      </c>
      <c r="E124" s="36"/>
      <c r="F124" s="13">
        <v>9</v>
      </c>
      <c r="G124" s="14" t="s">
        <v>127</v>
      </c>
      <c r="H124" s="15">
        <v>42.2</v>
      </c>
      <c r="I124" s="15">
        <f>D123*4</f>
        <v>20</v>
      </c>
      <c r="J124" s="16">
        <f t="shared" si="14"/>
        <v>8.44</v>
      </c>
      <c r="K124" s="15">
        <v>1.58</v>
      </c>
      <c r="L124" s="17">
        <f t="shared" si="15"/>
        <v>13.3352</v>
      </c>
      <c r="M124" s="31"/>
      <c r="O124" s="19" t="s">
        <v>97</v>
      </c>
      <c r="P124" s="20">
        <f>L121</f>
        <v>113.43312</v>
      </c>
    </row>
    <row r="125" spans="2:16" ht="15" thickBot="1" x14ac:dyDescent="0.2">
      <c r="E125" s="37"/>
      <c r="F125" s="38">
        <v>10</v>
      </c>
      <c r="G125" s="39" t="s">
        <v>126</v>
      </c>
      <c r="H125" s="40">
        <v>154.9</v>
      </c>
      <c r="I125" s="40">
        <f>I122*3</f>
        <v>30</v>
      </c>
      <c r="J125" s="41">
        <f t="shared" si="14"/>
        <v>46.47</v>
      </c>
      <c r="K125" s="40">
        <v>3.85</v>
      </c>
      <c r="L125" s="42">
        <f t="shared" si="15"/>
        <v>178.90950000000001</v>
      </c>
      <c r="M125" s="43"/>
      <c r="O125" s="24" t="s">
        <v>99</v>
      </c>
      <c r="P125" s="25">
        <f>L124</f>
        <v>13.3352</v>
      </c>
    </row>
    <row r="129" spans="2:16" x14ac:dyDescent="0.15">
      <c r="D129" s="63" t="s">
        <v>128</v>
      </c>
      <c r="E129" s="63"/>
      <c r="F129" s="63"/>
      <c r="G129" s="63"/>
      <c r="H129" s="63"/>
      <c r="I129" s="65"/>
      <c r="J129" s="65"/>
    </row>
    <row r="130" spans="2:16" ht="15" thickBot="1" x14ac:dyDescent="0.2">
      <c r="O130" s="64" t="s">
        <v>129</v>
      </c>
      <c r="P130" s="64"/>
    </row>
    <row r="131" spans="2:16" x14ac:dyDescent="0.15">
      <c r="E131" s="4" t="s">
        <v>130</v>
      </c>
      <c r="F131" s="5" t="s">
        <v>131</v>
      </c>
      <c r="G131" s="6" t="s">
        <v>132</v>
      </c>
      <c r="H131" s="6" t="s">
        <v>133</v>
      </c>
      <c r="I131" s="7" t="s">
        <v>134</v>
      </c>
      <c r="J131" s="6" t="s">
        <v>135</v>
      </c>
      <c r="K131" s="6" t="s">
        <v>136</v>
      </c>
      <c r="L131" s="6" t="s">
        <v>137</v>
      </c>
      <c r="M131" s="8" t="s">
        <v>138</v>
      </c>
      <c r="O131" s="9" t="s">
        <v>139</v>
      </c>
      <c r="P131" s="10">
        <f>M134</f>
        <v>150.24347360000004</v>
      </c>
    </row>
    <row r="132" spans="2:16" x14ac:dyDescent="0.15">
      <c r="D132" s="11">
        <f>INT(D133/15)+1</f>
        <v>231</v>
      </c>
      <c r="E132" s="12"/>
      <c r="F132" s="13">
        <v>1</v>
      </c>
      <c r="G132" s="14" t="s">
        <v>140</v>
      </c>
      <c r="H132" s="15">
        <f>E134+405.7</f>
        <v>4360.1000000000004</v>
      </c>
      <c r="I132" s="15">
        <v>52</v>
      </c>
      <c r="J132" s="16">
        <f>H132*I132/100</f>
        <v>2267.252</v>
      </c>
      <c r="K132" s="15">
        <v>6.31</v>
      </c>
      <c r="L132" s="17">
        <f>J132*K132</f>
        <v>14306.360119999999</v>
      </c>
      <c r="M132" s="18"/>
      <c r="O132" s="19" t="s">
        <v>140</v>
      </c>
      <c r="P132" s="20">
        <f>L132</f>
        <v>14306.360119999999</v>
      </c>
    </row>
    <row r="133" spans="2:16" x14ac:dyDescent="0.15">
      <c r="B133" s="1">
        <f>3.14*213.2</f>
        <v>669.44799999999998</v>
      </c>
      <c r="D133" s="11">
        <f>E134-500</f>
        <v>3454.4</v>
      </c>
      <c r="E133" s="12" t="s">
        <v>141</v>
      </c>
      <c r="F133" s="13">
        <v>2</v>
      </c>
      <c r="G133" s="14" t="s">
        <v>142</v>
      </c>
      <c r="H133" s="15">
        <f>B134*50+B135*D132+3*B133</f>
        <v>190165.78063649629</v>
      </c>
      <c r="I133" s="15">
        <v>1</v>
      </c>
      <c r="J133" s="16">
        <f t="shared" ref="J133:J141" si="16">H133*I133/100</f>
        <v>1901.6578063649629</v>
      </c>
      <c r="K133" s="15">
        <v>0.61699999999999999</v>
      </c>
      <c r="L133" s="17">
        <f t="shared" ref="L133:L141" si="17">J133*K133</f>
        <v>1173.322866527182</v>
      </c>
      <c r="M133" s="21" t="s">
        <v>143</v>
      </c>
      <c r="O133" s="19" t="s">
        <v>144</v>
      </c>
      <c r="P133" s="20">
        <f>L135</f>
        <v>472.98790000000002</v>
      </c>
    </row>
    <row r="134" spans="2:16" x14ac:dyDescent="0.15">
      <c r="B134" s="1">
        <f>(B133*B133+10*10)^0.5</f>
        <v>669.52268423407429</v>
      </c>
      <c r="D134" s="11">
        <f>INT(E134/200)</f>
        <v>19</v>
      </c>
      <c r="E134" s="22">
        <v>3954.4</v>
      </c>
      <c r="F134" s="13">
        <v>3</v>
      </c>
      <c r="G134" s="14" t="s">
        <v>145</v>
      </c>
      <c r="H134" s="15">
        <v>707.8</v>
      </c>
      <c r="I134" s="15">
        <v>16</v>
      </c>
      <c r="J134" s="16">
        <f t="shared" si="16"/>
        <v>113.24799999999999</v>
      </c>
      <c r="K134" s="15">
        <v>0.88800000000000001</v>
      </c>
      <c r="L134" s="17">
        <f t="shared" si="17"/>
        <v>100.564224</v>
      </c>
      <c r="M134" s="23">
        <f>3.14*1.1*1.1*E134/100</f>
        <v>150.24347360000004</v>
      </c>
      <c r="O134" s="19" t="s">
        <v>146</v>
      </c>
      <c r="P134" s="20">
        <f>L133</f>
        <v>1173.322866527182</v>
      </c>
    </row>
    <row r="135" spans="2:16" ht="15" thickBot="1" x14ac:dyDescent="0.2">
      <c r="B135" s="1">
        <f>(B133*B133+15*15)^0.5</f>
        <v>669.61602781295483</v>
      </c>
      <c r="C135" s="26">
        <f>(C136*C136+20*20)^0.5</f>
        <v>751.35423319763095</v>
      </c>
      <c r="E135" s="27"/>
      <c r="F135" s="13">
        <v>4</v>
      </c>
      <c r="G135" s="14" t="s">
        <v>147</v>
      </c>
      <c r="H135" s="15">
        <v>646.6</v>
      </c>
      <c r="I135" s="15">
        <f>D134</f>
        <v>19</v>
      </c>
      <c r="J135" s="16">
        <f t="shared" si="16"/>
        <v>122.854</v>
      </c>
      <c r="K135" s="15">
        <v>3.85</v>
      </c>
      <c r="L135" s="17">
        <f t="shared" si="17"/>
        <v>472.98790000000002</v>
      </c>
      <c r="M135" s="28"/>
      <c r="O135" s="24" t="s">
        <v>145</v>
      </c>
      <c r="P135" s="25">
        <f>L134</f>
        <v>100.564224</v>
      </c>
    </row>
    <row r="136" spans="2:16" x14ac:dyDescent="0.15">
      <c r="B136" s="44">
        <f>250-6*2+1+0.2</f>
        <v>239.2</v>
      </c>
      <c r="C136" s="1">
        <f>3.14*B136</f>
        <v>751.08799999999997</v>
      </c>
      <c r="E136" s="30"/>
      <c r="F136" s="13">
        <v>5</v>
      </c>
      <c r="G136" s="14" t="s">
        <v>148</v>
      </c>
      <c r="H136" s="15">
        <f>E138-6+0.9</f>
        <v>2194.9</v>
      </c>
      <c r="I136" s="15">
        <v>52</v>
      </c>
      <c r="J136" s="16">
        <f t="shared" si="16"/>
        <v>1141.348</v>
      </c>
      <c r="K136" s="15">
        <v>6.31</v>
      </c>
      <c r="L136" s="17">
        <f t="shared" si="17"/>
        <v>7201.9058799999993</v>
      </c>
      <c r="M136" s="31"/>
      <c r="O136" s="29" t="s">
        <v>149</v>
      </c>
      <c r="P136" s="10">
        <f>M138</f>
        <v>107.9375</v>
      </c>
    </row>
    <row r="137" spans="2:16" x14ac:dyDescent="0.15">
      <c r="B137" s="1">
        <f>B136-20</f>
        <v>219.2</v>
      </c>
      <c r="C137" s="26">
        <f>(C136*C136+10*10)^0.5</f>
        <v>751.15456714580387</v>
      </c>
      <c r="E137" s="32" t="s">
        <v>150</v>
      </c>
      <c r="F137" s="13">
        <v>6</v>
      </c>
      <c r="G137" s="14" t="s">
        <v>119</v>
      </c>
      <c r="H137" s="15">
        <v>717.2</v>
      </c>
      <c r="I137" s="15">
        <v>22</v>
      </c>
      <c r="J137" s="16">
        <f t="shared" si="16"/>
        <v>157.78400000000002</v>
      </c>
      <c r="K137" s="15">
        <v>0.88800000000000001</v>
      </c>
      <c r="L137" s="17">
        <f t="shared" si="17"/>
        <v>140.11219200000002</v>
      </c>
      <c r="M137" s="33" t="s">
        <v>151</v>
      </c>
      <c r="O137" s="19" t="s">
        <v>148</v>
      </c>
      <c r="P137" s="20">
        <f>L136</f>
        <v>7201.9058799999993</v>
      </c>
    </row>
    <row r="138" spans="2:16" x14ac:dyDescent="0.15">
      <c r="B138" s="1">
        <f>(B136+B137)/2</f>
        <v>229.2</v>
      </c>
      <c r="C138" s="45">
        <f>E138-226-100-600</f>
        <v>1274</v>
      </c>
      <c r="D138" s="11">
        <f>INT(E138/200)-1</f>
        <v>10</v>
      </c>
      <c r="E138" s="34">
        <v>2200</v>
      </c>
      <c r="F138" s="13">
        <v>7</v>
      </c>
      <c r="G138" s="14" t="s">
        <v>98</v>
      </c>
      <c r="H138" s="15">
        <v>728.3</v>
      </c>
      <c r="I138" s="15">
        <f>D138</f>
        <v>10</v>
      </c>
      <c r="J138" s="16">
        <f t="shared" si="16"/>
        <v>72.83</v>
      </c>
      <c r="K138" s="15">
        <v>3.85</v>
      </c>
      <c r="L138" s="17">
        <f t="shared" si="17"/>
        <v>280.39550000000003</v>
      </c>
      <c r="M138" s="35">
        <f>3.14*1.25*1.25*E138/100</f>
        <v>107.9375</v>
      </c>
      <c r="O138" s="19" t="s">
        <v>98</v>
      </c>
      <c r="P138" s="20">
        <f>L138+L141</f>
        <v>508.50800000000004</v>
      </c>
    </row>
    <row r="139" spans="2:16" x14ac:dyDescent="0.15">
      <c r="B139" s="1">
        <f>3.14*B138</f>
        <v>719.68799999999999</v>
      </c>
      <c r="C139" s="11">
        <f>INT(C138/20)+1</f>
        <v>64</v>
      </c>
      <c r="D139" s="11">
        <f>INT(E138/400)</f>
        <v>5</v>
      </c>
      <c r="E139" s="36"/>
      <c r="F139" s="13">
        <v>8</v>
      </c>
      <c r="G139" s="14" t="s">
        <v>120</v>
      </c>
      <c r="H139" s="15">
        <f>B140*10+C137*60+C135*C139+C136+3.14*B137</f>
        <v>101792.89566536731</v>
      </c>
      <c r="I139" s="15">
        <v>1</v>
      </c>
      <c r="J139" s="16">
        <f t="shared" si="16"/>
        <v>1017.9289566536731</v>
      </c>
      <c r="K139" s="15">
        <v>0.61699999999999999</v>
      </c>
      <c r="L139" s="17">
        <f t="shared" si="17"/>
        <v>628.06216625531636</v>
      </c>
      <c r="M139" s="31"/>
      <c r="O139" s="19" t="s">
        <v>120</v>
      </c>
      <c r="P139" s="20">
        <f>L139</f>
        <v>628.06216625531636</v>
      </c>
    </row>
    <row r="140" spans="2:16" x14ac:dyDescent="0.15">
      <c r="B140" s="26">
        <f>(B139*B139+10*10)^0.5</f>
        <v>719.75747119706921</v>
      </c>
      <c r="E140" s="36"/>
      <c r="F140" s="13">
        <v>9</v>
      </c>
      <c r="G140" s="14" t="s">
        <v>152</v>
      </c>
      <c r="H140" s="15">
        <v>42.2</v>
      </c>
      <c r="I140" s="15">
        <f>D139*4</f>
        <v>20</v>
      </c>
      <c r="J140" s="16">
        <f t="shared" si="16"/>
        <v>8.44</v>
      </c>
      <c r="K140" s="15">
        <v>1.58</v>
      </c>
      <c r="L140" s="17">
        <f t="shared" si="17"/>
        <v>13.3352</v>
      </c>
      <c r="M140" s="31"/>
      <c r="O140" s="19" t="s">
        <v>153</v>
      </c>
      <c r="P140" s="20">
        <f>L137</f>
        <v>140.11219200000002</v>
      </c>
    </row>
    <row r="141" spans="2:16" ht="15" thickBot="1" x14ac:dyDescent="0.2">
      <c r="E141" s="37"/>
      <c r="F141" s="38">
        <v>10</v>
      </c>
      <c r="G141" s="39" t="s">
        <v>154</v>
      </c>
      <c r="H141" s="40">
        <v>197.5</v>
      </c>
      <c r="I141" s="40">
        <f>I138*3</f>
        <v>30</v>
      </c>
      <c r="J141" s="41">
        <f t="shared" si="16"/>
        <v>59.25</v>
      </c>
      <c r="K141" s="40">
        <v>3.85</v>
      </c>
      <c r="L141" s="42">
        <f t="shared" si="17"/>
        <v>228.11250000000001</v>
      </c>
      <c r="M141" s="43"/>
      <c r="O141" s="24" t="s">
        <v>155</v>
      </c>
      <c r="P141" s="25">
        <f>L140</f>
        <v>13.3352</v>
      </c>
    </row>
    <row r="144" spans="2:16" x14ac:dyDescent="0.15">
      <c r="D144" s="63" t="s">
        <v>156</v>
      </c>
      <c r="E144" s="63"/>
      <c r="F144" s="63"/>
      <c r="G144" s="63"/>
      <c r="H144" s="63"/>
      <c r="I144" s="11"/>
    </row>
    <row r="145" spans="2:16" ht="15" thickBot="1" x14ac:dyDescent="0.2">
      <c r="I145" s="11"/>
      <c r="O145" s="64" t="s">
        <v>157</v>
      </c>
      <c r="P145" s="64"/>
    </row>
    <row r="146" spans="2:16" x14ac:dyDescent="0.15">
      <c r="E146" s="4" t="s">
        <v>158</v>
      </c>
      <c r="F146" s="5" t="s">
        <v>159</v>
      </c>
      <c r="G146" s="6" t="s">
        <v>160</v>
      </c>
      <c r="H146" s="6" t="s">
        <v>161</v>
      </c>
      <c r="I146" s="7" t="s">
        <v>162</v>
      </c>
      <c r="J146" s="6" t="s">
        <v>163</v>
      </c>
      <c r="K146" s="6" t="s">
        <v>164</v>
      </c>
      <c r="L146" s="6" t="s">
        <v>165</v>
      </c>
      <c r="M146" s="8" t="s">
        <v>166</v>
      </c>
      <c r="O146" s="9" t="s">
        <v>167</v>
      </c>
      <c r="P146" s="10">
        <f>M149</f>
        <v>12.717000000000001</v>
      </c>
    </row>
    <row r="147" spans="2:16" x14ac:dyDescent="0.15">
      <c r="D147" s="11">
        <f>INT(D148/15)+1</f>
        <v>1</v>
      </c>
      <c r="E147" s="12"/>
      <c r="F147" s="13">
        <v>1</v>
      </c>
      <c r="G147" s="14" t="s">
        <v>168</v>
      </c>
      <c r="H147" s="15">
        <f>E149+365.5</f>
        <v>865.5</v>
      </c>
      <c r="I147" s="15">
        <v>50</v>
      </c>
      <c r="J147" s="16">
        <f>H147*I147/100</f>
        <v>432.75</v>
      </c>
      <c r="K147" s="15">
        <v>3.85</v>
      </c>
      <c r="L147" s="17">
        <f>J147*K147</f>
        <v>1666.0875000000001</v>
      </c>
      <c r="M147" s="18"/>
      <c r="O147" s="19" t="s">
        <v>98</v>
      </c>
      <c r="P147" s="20">
        <f>L147+L150</f>
        <v>1706.5587</v>
      </c>
    </row>
    <row r="148" spans="2:16" x14ac:dyDescent="0.15">
      <c r="B148" s="1">
        <f>3.14*173.2</f>
        <v>543.84799999999996</v>
      </c>
      <c r="D148" s="11">
        <f>E149-500</f>
        <v>0</v>
      </c>
      <c r="E148" s="12" t="s">
        <v>169</v>
      </c>
      <c r="F148" s="13">
        <v>2</v>
      </c>
      <c r="G148" s="14" t="s">
        <v>170</v>
      </c>
      <c r="H148" s="15">
        <f>B149*50+B150*D147+3*B148</f>
        <v>29372.595304114548</v>
      </c>
      <c r="I148" s="15">
        <v>1</v>
      </c>
      <c r="J148" s="16">
        <f t="shared" ref="J148:J156" si="18">H148*I148/100</f>
        <v>293.72595304114549</v>
      </c>
      <c r="K148" s="15">
        <v>0.61699999999999999</v>
      </c>
      <c r="L148" s="17">
        <f t="shared" ref="L148:L156" si="19">J148*K148</f>
        <v>181.22891302638678</v>
      </c>
      <c r="M148" s="21" t="s">
        <v>171</v>
      </c>
      <c r="O148" s="19" t="s">
        <v>170</v>
      </c>
      <c r="P148" s="20">
        <f>L148</f>
        <v>181.22891302638678</v>
      </c>
    </row>
    <row r="149" spans="2:16" ht="15" thickBot="1" x14ac:dyDescent="0.2">
      <c r="B149" s="1">
        <f>(B148*B148+10*10)^0.5</f>
        <v>543.93992968341638</v>
      </c>
      <c r="D149" s="11">
        <f>INT(E149/200)</f>
        <v>2</v>
      </c>
      <c r="E149" s="22">
        <v>500</v>
      </c>
      <c r="F149" s="13">
        <v>3</v>
      </c>
      <c r="G149" s="14" t="s">
        <v>119</v>
      </c>
      <c r="H149" s="15">
        <v>582.20000000000005</v>
      </c>
      <c r="I149" s="15">
        <v>16</v>
      </c>
      <c r="J149" s="16">
        <f t="shared" si="18"/>
        <v>93.152000000000001</v>
      </c>
      <c r="K149" s="15">
        <v>0.88800000000000001</v>
      </c>
      <c r="L149" s="17">
        <f t="shared" si="19"/>
        <v>82.718975999999998</v>
      </c>
      <c r="M149" s="23">
        <f>3.14*0.9*0.9*E149/100</f>
        <v>12.717000000000001</v>
      </c>
      <c r="O149" s="24" t="s">
        <v>119</v>
      </c>
      <c r="P149" s="25">
        <f>L149</f>
        <v>82.718975999999998</v>
      </c>
    </row>
    <row r="150" spans="2:16" x14ac:dyDescent="0.15">
      <c r="B150" s="1">
        <f>(B148*B148+15*15)^0.5</f>
        <v>544.05481994372587</v>
      </c>
      <c r="C150" s="26">
        <f>(C151*C151+20*20)^0.5</f>
        <v>594.42455513210416</v>
      </c>
      <c r="E150" s="27"/>
      <c r="F150" s="13">
        <v>4</v>
      </c>
      <c r="G150" s="14" t="s">
        <v>172</v>
      </c>
      <c r="H150" s="15">
        <v>525.6</v>
      </c>
      <c r="I150" s="15">
        <f>D149</f>
        <v>2</v>
      </c>
      <c r="J150" s="16">
        <f t="shared" si="18"/>
        <v>10.512</v>
      </c>
      <c r="K150" s="15">
        <v>3.85</v>
      </c>
      <c r="L150" s="17">
        <f t="shared" si="19"/>
        <v>40.471200000000003</v>
      </c>
      <c r="M150" s="28"/>
      <c r="O150" s="29" t="s">
        <v>173</v>
      </c>
      <c r="P150" s="10">
        <f>M153</f>
        <v>62.8</v>
      </c>
    </row>
    <row r="151" spans="2:16" x14ac:dyDescent="0.15">
      <c r="B151" s="1">
        <f>200-6*2+1+0.2</f>
        <v>189.2</v>
      </c>
      <c r="C151" s="1">
        <f>3.14*B151</f>
        <v>594.08799999999997</v>
      </c>
      <c r="E151" s="30"/>
      <c r="F151" s="13">
        <v>5</v>
      </c>
      <c r="G151" s="14" t="s">
        <v>118</v>
      </c>
      <c r="H151" s="15">
        <f>E153-6+0.7</f>
        <v>1994.7</v>
      </c>
      <c r="I151" s="15">
        <v>50</v>
      </c>
      <c r="J151" s="16">
        <f t="shared" si="18"/>
        <v>997.35</v>
      </c>
      <c r="K151" s="15">
        <v>3.85</v>
      </c>
      <c r="L151" s="17">
        <f t="shared" si="19"/>
        <v>3839.7975000000001</v>
      </c>
      <c r="M151" s="31"/>
      <c r="O151" s="19" t="s">
        <v>126</v>
      </c>
      <c r="P151" s="20">
        <f>L151+L153+L156</f>
        <v>4200.8851500000001</v>
      </c>
    </row>
    <row r="152" spans="2:16" x14ac:dyDescent="0.15">
      <c r="B152" s="1">
        <f>B151-20</f>
        <v>169.2</v>
      </c>
      <c r="C152" s="26">
        <f>(C151*C151+10*10)^0.5</f>
        <v>594.17215665495462</v>
      </c>
      <c r="E152" s="32" t="s">
        <v>174</v>
      </c>
      <c r="F152" s="13">
        <v>6</v>
      </c>
      <c r="G152" s="14" t="s">
        <v>175</v>
      </c>
      <c r="H152" s="15">
        <v>575.9</v>
      </c>
      <c r="I152" s="15">
        <v>18</v>
      </c>
      <c r="J152" s="16">
        <f t="shared" si="18"/>
        <v>103.66199999999999</v>
      </c>
      <c r="K152" s="15">
        <v>0.88800000000000001</v>
      </c>
      <c r="L152" s="17">
        <f t="shared" si="19"/>
        <v>92.051856000000001</v>
      </c>
      <c r="M152" s="33" t="s">
        <v>176</v>
      </c>
      <c r="O152" s="19" t="s">
        <v>177</v>
      </c>
      <c r="P152" s="20">
        <f>L154</f>
        <v>467.01500638210621</v>
      </c>
    </row>
    <row r="153" spans="2:16" x14ac:dyDescent="0.15">
      <c r="B153" s="1">
        <f>(B151+B152)/2</f>
        <v>179.2</v>
      </c>
      <c r="C153" s="11">
        <f>E153-186-100-600</f>
        <v>1114</v>
      </c>
      <c r="D153" s="11">
        <f>INT(E153/200)-1</f>
        <v>9</v>
      </c>
      <c r="E153" s="34">
        <v>2000</v>
      </c>
      <c r="F153" s="13">
        <v>7</v>
      </c>
      <c r="G153" s="14" t="s">
        <v>178</v>
      </c>
      <c r="H153" s="15">
        <v>575.9</v>
      </c>
      <c r="I153" s="15">
        <f>D153</f>
        <v>9</v>
      </c>
      <c r="J153" s="16">
        <f t="shared" si="18"/>
        <v>51.830999999999996</v>
      </c>
      <c r="K153" s="15">
        <v>3.85</v>
      </c>
      <c r="L153" s="17">
        <f t="shared" si="19"/>
        <v>199.54934999999998</v>
      </c>
      <c r="M153" s="35">
        <f>3.14*1*1*E153/100</f>
        <v>62.8</v>
      </c>
      <c r="O153" s="19" t="s">
        <v>179</v>
      </c>
      <c r="P153" s="20">
        <f>L152</f>
        <v>92.051856000000001</v>
      </c>
    </row>
    <row r="154" spans="2:16" ht="15" thickBot="1" x14ac:dyDescent="0.2">
      <c r="B154" s="1">
        <f>3.14*B153</f>
        <v>562.68799999999999</v>
      </c>
      <c r="C154" s="11">
        <f>INT(C153/20)+1</f>
        <v>56</v>
      </c>
      <c r="D154" s="11">
        <f>INT(E153/400)</f>
        <v>5</v>
      </c>
      <c r="E154" s="36"/>
      <c r="F154" s="13">
        <v>8</v>
      </c>
      <c r="G154" s="14" t="s">
        <v>180</v>
      </c>
      <c r="H154" s="15">
        <f>B155*10+C152*60+C150*C154+C151+3.14*B152</f>
        <v>75691.249008445098</v>
      </c>
      <c r="I154" s="15">
        <v>1</v>
      </c>
      <c r="J154" s="16">
        <f t="shared" si="18"/>
        <v>756.91249008445095</v>
      </c>
      <c r="K154" s="15">
        <v>0.61699999999999999</v>
      </c>
      <c r="L154" s="17">
        <f t="shared" si="19"/>
        <v>467.01500638210621</v>
      </c>
      <c r="M154" s="31"/>
      <c r="O154" s="24" t="s">
        <v>181</v>
      </c>
      <c r="P154" s="25">
        <f>L155</f>
        <v>13.3352</v>
      </c>
    </row>
    <row r="155" spans="2:16" x14ac:dyDescent="0.15">
      <c r="B155" s="26">
        <f>(B154*B154+10*10)^0.5</f>
        <v>562.77685217499834</v>
      </c>
      <c r="E155" s="36"/>
      <c r="F155" s="13">
        <v>9</v>
      </c>
      <c r="G155" s="14" t="s">
        <v>182</v>
      </c>
      <c r="H155" s="15">
        <v>42.2</v>
      </c>
      <c r="I155" s="15">
        <f>D154*4</f>
        <v>20</v>
      </c>
      <c r="J155" s="16">
        <f t="shared" si="18"/>
        <v>8.44</v>
      </c>
      <c r="K155" s="15">
        <v>1.58</v>
      </c>
      <c r="L155" s="17">
        <f t="shared" si="19"/>
        <v>13.3352</v>
      </c>
      <c r="M155" s="31"/>
    </row>
    <row r="156" spans="2:16" ht="15" thickBot="1" x14ac:dyDescent="0.2">
      <c r="E156" s="37"/>
      <c r="F156" s="38">
        <v>10</v>
      </c>
      <c r="G156" s="39" t="s">
        <v>147</v>
      </c>
      <c r="H156" s="40">
        <v>155.4</v>
      </c>
      <c r="I156" s="40">
        <f>I153*3</f>
        <v>27</v>
      </c>
      <c r="J156" s="41">
        <f t="shared" si="18"/>
        <v>41.957999999999998</v>
      </c>
      <c r="K156" s="40">
        <v>3.85</v>
      </c>
      <c r="L156" s="42">
        <f t="shared" si="19"/>
        <v>161.53829999999999</v>
      </c>
      <c r="M156" s="43"/>
    </row>
    <row r="160" spans="2:16" s="46" customFormat="1" x14ac:dyDescent="0.15"/>
    <row r="163" spans="2:16" ht="18.75" customHeight="1" thickBot="1" x14ac:dyDescent="0.2">
      <c r="D163" s="61" t="s">
        <v>183</v>
      </c>
      <c r="E163" s="61"/>
      <c r="F163" s="61"/>
      <c r="G163" s="61"/>
      <c r="H163" s="62" t="s">
        <v>184</v>
      </c>
      <c r="I163" s="62"/>
      <c r="J163" s="62"/>
      <c r="K163" s="62"/>
      <c r="L163" s="62"/>
      <c r="O163" s="58" t="s">
        <v>129</v>
      </c>
      <c r="P163" s="58"/>
    </row>
    <row r="164" spans="2:16" x14ac:dyDescent="0.15">
      <c r="C164" s="26">
        <f>(C165*C165+20*20)^0.5</f>
        <v>437.54533450146619</v>
      </c>
      <c r="E164" s="4" t="s">
        <v>185</v>
      </c>
      <c r="F164" s="5" t="s">
        <v>131</v>
      </c>
      <c r="G164" s="6" t="s">
        <v>132</v>
      </c>
      <c r="H164" s="6" t="s">
        <v>133</v>
      </c>
      <c r="I164" s="7" t="s">
        <v>134</v>
      </c>
      <c r="J164" s="6" t="s">
        <v>135</v>
      </c>
      <c r="K164" s="6" t="s">
        <v>136</v>
      </c>
      <c r="L164" s="6" t="s">
        <v>137</v>
      </c>
      <c r="M164" s="8" t="s">
        <v>138</v>
      </c>
      <c r="O164" s="14" t="s">
        <v>186</v>
      </c>
      <c r="P164" s="48">
        <f>M167</f>
        <v>30.026250000000001</v>
      </c>
    </row>
    <row r="165" spans="2:16" x14ac:dyDescent="0.15">
      <c r="B165" s="1">
        <f>150-6*2+1+0.2</f>
        <v>139.19999999999999</v>
      </c>
      <c r="C165" s="1">
        <f>3.14*B165</f>
        <v>437.08799999999997</v>
      </c>
      <c r="E165" s="30"/>
      <c r="F165" s="13">
        <v>1</v>
      </c>
      <c r="G165" s="14" t="s">
        <v>187</v>
      </c>
      <c r="H165" s="15">
        <f>E167+133.8</f>
        <v>1833.8</v>
      </c>
      <c r="I165" s="15">
        <v>36</v>
      </c>
      <c r="J165" s="16">
        <f t="shared" ref="J165:J170" si="20">H165*I165/100</f>
        <v>660.16800000000001</v>
      </c>
      <c r="K165" s="15">
        <v>3.85</v>
      </c>
      <c r="L165" s="17">
        <f t="shared" ref="L165:L170" si="21">J165*K165</f>
        <v>2541.6468</v>
      </c>
      <c r="M165" s="31"/>
      <c r="O165" s="14" t="s">
        <v>187</v>
      </c>
      <c r="P165" s="17">
        <f>L165+L167+L170</f>
        <v>2774.2175999999999</v>
      </c>
    </row>
    <row r="166" spans="2:16" x14ac:dyDescent="0.15">
      <c r="B166" s="1">
        <f>B165-20</f>
        <v>119.19999999999999</v>
      </c>
      <c r="C166" s="26">
        <f>(C165*C165+10*10)^0.5</f>
        <v>437.20237847477449</v>
      </c>
      <c r="E166" s="32" t="s">
        <v>188</v>
      </c>
      <c r="F166" s="13">
        <v>2</v>
      </c>
      <c r="G166" s="14" t="s">
        <v>189</v>
      </c>
      <c r="H166" s="15">
        <f>10*B169+60*C166+C168*C164+2*C165+3.14*B166</f>
        <v>53415.985720621342</v>
      </c>
      <c r="I166" s="15">
        <v>1</v>
      </c>
      <c r="J166" s="16">
        <f t="shared" si="20"/>
        <v>534.15985720621347</v>
      </c>
      <c r="K166" s="15">
        <v>0.61699999999999999</v>
      </c>
      <c r="L166" s="17">
        <f t="shared" si="21"/>
        <v>329.57663189623372</v>
      </c>
      <c r="M166" s="33" t="s">
        <v>190</v>
      </c>
      <c r="O166" s="14" t="s">
        <v>189</v>
      </c>
      <c r="P166" s="17">
        <f>L166</f>
        <v>329.57663189623372</v>
      </c>
    </row>
    <row r="167" spans="2:16" x14ac:dyDescent="0.15">
      <c r="B167" s="1">
        <f>(B165+B166)/2</f>
        <v>129.19999999999999</v>
      </c>
      <c r="C167" s="11">
        <f>E167-106-600</f>
        <v>994</v>
      </c>
      <c r="D167" s="11">
        <f>INT(E167/200)</f>
        <v>8</v>
      </c>
      <c r="E167" s="34">
        <v>1700</v>
      </c>
      <c r="F167" s="13">
        <v>3</v>
      </c>
      <c r="G167" s="14" t="s">
        <v>147</v>
      </c>
      <c r="H167" s="15">
        <v>418.8</v>
      </c>
      <c r="I167" s="15">
        <f>D167</f>
        <v>8</v>
      </c>
      <c r="J167" s="16">
        <f t="shared" si="20"/>
        <v>33.503999999999998</v>
      </c>
      <c r="K167" s="15">
        <v>3.85</v>
      </c>
      <c r="L167" s="17">
        <f t="shared" si="21"/>
        <v>128.99039999999999</v>
      </c>
      <c r="M167" s="35">
        <f>3.14*0.75*0.75*E167/100</f>
        <v>30.026250000000001</v>
      </c>
      <c r="O167" s="14" t="s">
        <v>191</v>
      </c>
      <c r="P167" s="17">
        <f>L168</f>
        <v>53.225831999999997</v>
      </c>
    </row>
    <row r="168" spans="2:16" x14ac:dyDescent="0.15">
      <c r="B168" s="1">
        <f>3.14*B167</f>
        <v>405.68799999999999</v>
      </c>
      <c r="C168" s="11">
        <f>INT(C167/20)+1</f>
        <v>50</v>
      </c>
      <c r="D168" s="11">
        <f>INT(E167/400)</f>
        <v>4</v>
      </c>
      <c r="E168" s="36"/>
      <c r="F168" s="13">
        <v>4</v>
      </c>
      <c r="G168" s="14" t="s">
        <v>192</v>
      </c>
      <c r="H168" s="15">
        <v>544.9</v>
      </c>
      <c r="I168" s="15">
        <v>11</v>
      </c>
      <c r="J168" s="16">
        <f t="shared" si="20"/>
        <v>59.938999999999993</v>
      </c>
      <c r="K168" s="15">
        <v>0.88800000000000001</v>
      </c>
      <c r="L168" s="17">
        <f t="shared" si="21"/>
        <v>53.225831999999997</v>
      </c>
      <c r="M168" s="31"/>
      <c r="O168" s="14" t="s">
        <v>80</v>
      </c>
      <c r="P168" s="17">
        <f>L169</f>
        <v>10.668160000000002</v>
      </c>
    </row>
    <row r="169" spans="2:16" x14ac:dyDescent="0.15">
      <c r="B169" s="26">
        <f>(B168*B168+10*10)^0.5</f>
        <v>405.81122870615593</v>
      </c>
      <c r="E169" s="36"/>
      <c r="F169" s="13">
        <v>5</v>
      </c>
      <c r="G169" s="14" t="s">
        <v>193</v>
      </c>
      <c r="H169" s="15">
        <v>42.2</v>
      </c>
      <c r="I169" s="15">
        <f>D168*4</f>
        <v>16</v>
      </c>
      <c r="J169" s="16">
        <f t="shared" si="20"/>
        <v>6.7520000000000007</v>
      </c>
      <c r="K169" s="15">
        <v>1.58</v>
      </c>
      <c r="L169" s="17">
        <f t="shared" si="21"/>
        <v>10.668160000000002</v>
      </c>
      <c r="M169" s="31"/>
    </row>
    <row r="170" spans="2:16" ht="15" thickBot="1" x14ac:dyDescent="0.2">
      <c r="E170" s="37"/>
      <c r="F170" s="38">
        <v>6</v>
      </c>
      <c r="G170" s="39" t="s">
        <v>20</v>
      </c>
      <c r="H170" s="40">
        <v>112.1</v>
      </c>
      <c r="I170" s="40">
        <f>I167*3</f>
        <v>24</v>
      </c>
      <c r="J170" s="41">
        <f t="shared" si="20"/>
        <v>26.903999999999996</v>
      </c>
      <c r="K170" s="40">
        <v>3.85</v>
      </c>
      <c r="L170" s="42">
        <f t="shared" si="21"/>
        <v>103.58039999999998</v>
      </c>
      <c r="M170" s="43"/>
    </row>
    <row r="171" spans="2:16" x14ac:dyDescent="0.15">
      <c r="E171" s="49"/>
      <c r="F171" s="50"/>
      <c r="G171" s="51"/>
      <c r="H171" s="50"/>
      <c r="I171" s="50"/>
      <c r="J171" s="52"/>
      <c r="K171" s="50"/>
      <c r="L171" s="53"/>
      <c r="M171" s="54"/>
    </row>
    <row r="172" spans="2:16" x14ac:dyDescent="0.15">
      <c r="E172" s="49"/>
      <c r="F172" s="50"/>
      <c r="G172" s="51"/>
      <c r="H172" s="50"/>
      <c r="I172" s="50"/>
      <c r="J172" s="52"/>
      <c r="K172" s="50"/>
      <c r="L172" s="53"/>
      <c r="M172" s="54"/>
    </row>
    <row r="173" spans="2:16" x14ac:dyDescent="0.15">
      <c r="E173" s="49"/>
      <c r="F173" s="50"/>
      <c r="G173" s="51"/>
      <c r="H173" s="50"/>
      <c r="I173" s="50"/>
      <c r="J173" s="52"/>
      <c r="K173" s="50"/>
      <c r="L173" s="53"/>
      <c r="M173" s="54"/>
    </row>
    <row r="174" spans="2:16" ht="15" thickBot="1" x14ac:dyDescent="0.2">
      <c r="D174" s="55"/>
      <c r="E174" s="55"/>
      <c r="F174" s="55"/>
      <c r="G174" s="59" t="s">
        <v>252</v>
      </c>
      <c r="H174" s="60"/>
      <c r="I174" s="60"/>
      <c r="J174" s="60"/>
      <c r="K174" s="60"/>
      <c r="L174" s="55"/>
      <c r="O174" s="58" t="s">
        <v>194</v>
      </c>
      <c r="P174" s="58"/>
    </row>
    <row r="175" spans="2:16" x14ac:dyDescent="0.15">
      <c r="C175" s="26">
        <f>(C176*C176+20*20)^0.5</f>
        <v>531.66431039143481</v>
      </c>
      <c r="E175" s="4" t="s">
        <v>195</v>
      </c>
      <c r="F175" s="5" t="s">
        <v>196</v>
      </c>
      <c r="G175" s="6" t="s">
        <v>197</v>
      </c>
      <c r="H175" s="6" t="s">
        <v>198</v>
      </c>
      <c r="I175" s="7" t="s">
        <v>199</v>
      </c>
      <c r="J175" s="6" t="s">
        <v>200</v>
      </c>
      <c r="K175" s="6" t="s">
        <v>201</v>
      </c>
      <c r="L175" s="6" t="s">
        <v>202</v>
      </c>
      <c r="M175" s="8" t="s">
        <v>203</v>
      </c>
      <c r="O175" s="14" t="s">
        <v>204</v>
      </c>
      <c r="P175" s="48">
        <f>M178</f>
        <v>60.764369399999993</v>
      </c>
    </row>
    <row r="176" spans="2:16" x14ac:dyDescent="0.15">
      <c r="B176" s="1">
        <f>180-6*2+1+0.2</f>
        <v>169.2</v>
      </c>
      <c r="C176" s="1">
        <f>3.14*B176</f>
        <v>531.28800000000001</v>
      </c>
      <c r="E176" s="30"/>
      <c r="F176" s="13">
        <v>1</v>
      </c>
      <c r="G176" s="14" t="s">
        <v>205</v>
      </c>
      <c r="H176" s="15">
        <f>E178+129.9</f>
        <v>2519</v>
      </c>
      <c r="I176" s="15">
        <v>36</v>
      </c>
      <c r="J176" s="16">
        <f t="shared" ref="J176:J181" si="22">H176*I176/100</f>
        <v>906.84</v>
      </c>
      <c r="K176" s="15">
        <v>3.85</v>
      </c>
      <c r="L176" s="17">
        <f t="shared" ref="L176:L181" si="23">J176*K176</f>
        <v>3491.3340000000003</v>
      </c>
      <c r="M176" s="31"/>
      <c r="O176" s="14" t="s">
        <v>205</v>
      </c>
      <c r="P176" s="17">
        <f>L176+L178+L181</f>
        <v>3884.0455500000007</v>
      </c>
    </row>
    <row r="177" spans="2:16" x14ac:dyDescent="0.15">
      <c r="B177" s="1">
        <f>B176-20</f>
        <v>149.19999999999999</v>
      </c>
      <c r="C177" s="26">
        <f>(C176*C176+10*10)^0.5</f>
        <v>531.38210258156039</v>
      </c>
      <c r="E177" s="32" t="s">
        <v>77</v>
      </c>
      <c r="F177" s="13">
        <v>2</v>
      </c>
      <c r="G177" s="14" t="s">
        <v>206</v>
      </c>
      <c r="H177" s="15">
        <f>10*B180+60*C177+C179*C175+C176+3.14*B177</f>
        <v>83074.048662168556</v>
      </c>
      <c r="I177" s="15">
        <v>1</v>
      </c>
      <c r="J177" s="16">
        <f t="shared" si="22"/>
        <v>830.74048662168559</v>
      </c>
      <c r="K177" s="15">
        <v>0.61699999999999999</v>
      </c>
      <c r="L177" s="17">
        <f t="shared" si="23"/>
        <v>512.56688024558002</v>
      </c>
      <c r="M177" s="33" t="s">
        <v>78</v>
      </c>
      <c r="O177" s="14" t="s">
        <v>206</v>
      </c>
      <c r="P177" s="17">
        <f>L177</f>
        <v>512.56688024558002</v>
      </c>
    </row>
    <row r="178" spans="2:16" x14ac:dyDescent="0.15">
      <c r="B178" s="1">
        <f>(B176+B177)/2</f>
        <v>159.19999999999999</v>
      </c>
      <c r="C178" s="11">
        <f>E178-106-600</f>
        <v>1683.1</v>
      </c>
      <c r="D178" s="11">
        <f>INT(E178/200)</f>
        <v>11</v>
      </c>
      <c r="E178" s="34">
        <v>2389.1</v>
      </c>
      <c r="F178" s="13">
        <v>3</v>
      </c>
      <c r="G178" s="14" t="s">
        <v>207</v>
      </c>
      <c r="H178" s="15">
        <v>513</v>
      </c>
      <c r="I178" s="15">
        <f>D178</f>
        <v>11</v>
      </c>
      <c r="J178" s="16">
        <f t="shared" si="22"/>
        <v>56.43</v>
      </c>
      <c r="K178" s="15">
        <v>3.85</v>
      </c>
      <c r="L178" s="17">
        <f t="shared" si="23"/>
        <v>217.25550000000001</v>
      </c>
      <c r="M178" s="35">
        <f>3.14*0.9*0.9*E178/100</f>
        <v>60.764369399999993</v>
      </c>
      <c r="O178" s="14" t="s">
        <v>208</v>
      </c>
      <c r="P178" s="17">
        <f>L179</f>
        <v>55.638528000000008</v>
      </c>
    </row>
    <row r="179" spans="2:16" x14ac:dyDescent="0.15">
      <c r="B179" s="1">
        <f>3.14*B178</f>
        <v>499.88799999999998</v>
      </c>
      <c r="C179" s="11">
        <f>INT(C178/20)+1</f>
        <v>85</v>
      </c>
      <c r="D179" s="11">
        <f>INT(E178/400)</f>
        <v>5</v>
      </c>
      <c r="E179" s="36"/>
      <c r="F179" s="13">
        <v>4</v>
      </c>
      <c r="G179" s="14" t="s">
        <v>192</v>
      </c>
      <c r="H179" s="15">
        <v>569.6</v>
      </c>
      <c r="I179" s="15">
        <v>11</v>
      </c>
      <c r="J179" s="16">
        <f t="shared" si="22"/>
        <v>62.656000000000006</v>
      </c>
      <c r="K179" s="15">
        <v>0.88800000000000001</v>
      </c>
      <c r="L179" s="17">
        <f t="shared" si="23"/>
        <v>55.638528000000008</v>
      </c>
      <c r="M179" s="31"/>
      <c r="O179" s="14" t="s">
        <v>80</v>
      </c>
      <c r="P179" s="17">
        <f>L180</f>
        <v>13.3352</v>
      </c>
    </row>
    <row r="180" spans="2:16" x14ac:dyDescent="0.15">
      <c r="B180" s="26">
        <f>(B179*B179+10*10)^0.5</f>
        <v>499.98801240029741</v>
      </c>
      <c r="E180" s="36"/>
      <c r="F180" s="13">
        <v>5</v>
      </c>
      <c r="G180" s="14" t="s">
        <v>80</v>
      </c>
      <c r="H180" s="15">
        <v>42.2</v>
      </c>
      <c r="I180" s="15">
        <f>D179*4</f>
        <v>20</v>
      </c>
      <c r="J180" s="16">
        <f t="shared" si="22"/>
        <v>8.44</v>
      </c>
      <c r="K180" s="15">
        <v>1.58</v>
      </c>
      <c r="L180" s="17">
        <f t="shared" si="23"/>
        <v>13.3352</v>
      </c>
      <c r="M180" s="31"/>
    </row>
    <row r="181" spans="2:16" ht="15" thickBot="1" x14ac:dyDescent="0.2">
      <c r="E181" s="37"/>
      <c r="F181" s="38">
        <v>6</v>
      </c>
      <c r="G181" s="39" t="s">
        <v>209</v>
      </c>
      <c r="H181" s="40">
        <v>138.1</v>
      </c>
      <c r="I181" s="40">
        <f>I178*3</f>
        <v>33</v>
      </c>
      <c r="J181" s="41">
        <f t="shared" si="22"/>
        <v>45.573</v>
      </c>
      <c r="K181" s="40">
        <v>3.85</v>
      </c>
      <c r="L181" s="42">
        <f t="shared" si="23"/>
        <v>175.45605</v>
      </c>
      <c r="M181" s="43"/>
    </row>
    <row r="183" spans="2:16" ht="15" thickBot="1" x14ac:dyDescent="0.2">
      <c r="D183" s="55"/>
      <c r="E183" s="55"/>
      <c r="F183" s="55"/>
      <c r="G183" s="60" t="s">
        <v>210</v>
      </c>
      <c r="H183" s="60"/>
      <c r="I183" s="60"/>
      <c r="J183" s="60"/>
      <c r="K183" s="60"/>
      <c r="L183" s="55"/>
      <c r="O183" s="58" t="s">
        <v>211</v>
      </c>
      <c r="P183" s="58"/>
    </row>
    <row r="184" spans="2:16" x14ac:dyDescent="0.15">
      <c r="C184" s="26">
        <f>(C185*C185+20*20)^0.5</f>
        <v>594.42455513210416</v>
      </c>
      <c r="E184" s="4" t="s">
        <v>212</v>
      </c>
      <c r="F184" s="5" t="s">
        <v>213</v>
      </c>
      <c r="G184" s="6" t="s">
        <v>214</v>
      </c>
      <c r="H184" s="6" t="s">
        <v>215</v>
      </c>
      <c r="I184" s="7" t="s">
        <v>216</v>
      </c>
      <c r="J184" s="6" t="s">
        <v>217</v>
      </c>
      <c r="K184" s="6" t="s">
        <v>218</v>
      </c>
      <c r="L184" s="6" t="s">
        <v>219</v>
      </c>
      <c r="M184" s="8" t="s">
        <v>220</v>
      </c>
      <c r="O184" s="14" t="s">
        <v>221</v>
      </c>
      <c r="P184" s="48">
        <f>M187</f>
        <v>62.8</v>
      </c>
    </row>
    <row r="185" spans="2:16" x14ac:dyDescent="0.15">
      <c r="B185" s="1">
        <f>200-6*2+1+0.2</f>
        <v>189.2</v>
      </c>
      <c r="C185" s="1">
        <f>3.14*B185</f>
        <v>594.08799999999997</v>
      </c>
      <c r="E185" s="30"/>
      <c r="F185" s="13">
        <v>1</v>
      </c>
      <c r="G185" s="14" t="s">
        <v>75</v>
      </c>
      <c r="H185" s="15">
        <f>E187+129.9</f>
        <v>2129.9</v>
      </c>
      <c r="I185" s="15">
        <v>40</v>
      </c>
      <c r="J185" s="16">
        <f t="shared" ref="J185:J190" si="24">H185*I185/100</f>
        <v>851.96</v>
      </c>
      <c r="K185" s="15">
        <v>3.85</v>
      </c>
      <c r="L185" s="17">
        <f t="shared" ref="L185:L190" si="25">J185*K185</f>
        <v>3280.0460000000003</v>
      </c>
      <c r="M185" s="31"/>
      <c r="O185" s="14" t="s">
        <v>75</v>
      </c>
      <c r="P185" s="17">
        <f>L185+L187+L190</f>
        <v>3681.2545000000005</v>
      </c>
    </row>
    <row r="186" spans="2:16" x14ac:dyDescent="0.15">
      <c r="B186" s="1">
        <f>B185-20</f>
        <v>169.2</v>
      </c>
      <c r="C186" s="26">
        <f>(C185*C185+10*10)^0.5</f>
        <v>594.17215665495462</v>
      </c>
      <c r="E186" s="32" t="s">
        <v>222</v>
      </c>
      <c r="F186" s="13">
        <v>2</v>
      </c>
      <c r="G186" s="14" t="s">
        <v>223</v>
      </c>
      <c r="H186" s="15">
        <f>10*B189+60*C186+C188*C184+2*C185+3.14*B186</f>
        <v>81635.158004634039</v>
      </c>
      <c r="I186" s="15">
        <v>1</v>
      </c>
      <c r="J186" s="16">
        <f t="shared" si="24"/>
        <v>816.35158004634036</v>
      </c>
      <c r="K186" s="15">
        <v>0.61699999999999999</v>
      </c>
      <c r="L186" s="17">
        <f t="shared" si="25"/>
        <v>503.688924888592</v>
      </c>
      <c r="M186" s="33" t="s">
        <v>224</v>
      </c>
      <c r="O186" s="14" t="s">
        <v>223</v>
      </c>
      <c r="P186" s="17">
        <f>L186</f>
        <v>503.688924888592</v>
      </c>
    </row>
    <row r="187" spans="2:16" x14ac:dyDescent="0.15">
      <c r="B187" s="1">
        <f>(B185+B186)/2</f>
        <v>179.2</v>
      </c>
      <c r="C187" s="11">
        <f>E187-106-600</f>
        <v>1294</v>
      </c>
      <c r="D187" s="11">
        <f>INT(E187/200)</f>
        <v>10</v>
      </c>
      <c r="E187" s="34">
        <v>2000</v>
      </c>
      <c r="F187" s="13">
        <v>3</v>
      </c>
      <c r="G187" s="14" t="s">
        <v>209</v>
      </c>
      <c r="H187" s="15">
        <v>575.9</v>
      </c>
      <c r="I187" s="15">
        <f>D187</f>
        <v>10</v>
      </c>
      <c r="J187" s="16">
        <f t="shared" si="24"/>
        <v>57.59</v>
      </c>
      <c r="K187" s="15">
        <v>3.85</v>
      </c>
      <c r="L187" s="17">
        <f t="shared" si="25"/>
        <v>221.72150000000002</v>
      </c>
      <c r="M187" s="35">
        <f>3.14*1*1*E187/100</f>
        <v>62.8</v>
      </c>
      <c r="O187" s="14" t="s">
        <v>225</v>
      </c>
      <c r="P187" s="17">
        <f>L188</f>
        <v>61.772831999999994</v>
      </c>
    </row>
    <row r="188" spans="2:16" x14ac:dyDescent="0.15">
      <c r="B188" s="1">
        <f>3.14*B187</f>
        <v>562.68799999999999</v>
      </c>
      <c r="C188" s="11">
        <f>INT(C187/20)+1</f>
        <v>65</v>
      </c>
      <c r="D188" s="11">
        <f>INT(E187/400)</f>
        <v>5</v>
      </c>
      <c r="E188" s="36"/>
      <c r="F188" s="13">
        <v>4</v>
      </c>
      <c r="G188" s="14" t="s">
        <v>192</v>
      </c>
      <c r="H188" s="15">
        <v>632.4</v>
      </c>
      <c r="I188" s="15">
        <v>11</v>
      </c>
      <c r="J188" s="16">
        <f t="shared" si="24"/>
        <v>69.563999999999993</v>
      </c>
      <c r="K188" s="15">
        <v>0.88800000000000001</v>
      </c>
      <c r="L188" s="17">
        <f t="shared" si="25"/>
        <v>61.772831999999994</v>
      </c>
      <c r="M188" s="31"/>
      <c r="O188" s="14" t="s">
        <v>80</v>
      </c>
      <c r="P188" s="17">
        <f>L189</f>
        <v>13.3352</v>
      </c>
    </row>
    <row r="189" spans="2:16" x14ac:dyDescent="0.15">
      <c r="B189" s="26">
        <f>(B188*B188+10*10)^0.5</f>
        <v>562.77685217499834</v>
      </c>
      <c r="E189" s="36"/>
      <c r="F189" s="13">
        <v>5</v>
      </c>
      <c r="G189" s="14" t="s">
        <v>80</v>
      </c>
      <c r="H189" s="15">
        <v>42.2</v>
      </c>
      <c r="I189" s="15">
        <f>D188*4</f>
        <v>20</v>
      </c>
      <c r="J189" s="16">
        <f t="shared" si="24"/>
        <v>8.44</v>
      </c>
      <c r="K189" s="15">
        <v>1.58</v>
      </c>
      <c r="L189" s="17">
        <f t="shared" si="25"/>
        <v>13.3352</v>
      </c>
      <c r="M189" s="31"/>
    </row>
    <row r="190" spans="2:16" ht="15" thickBot="1" x14ac:dyDescent="0.2">
      <c r="E190" s="37"/>
      <c r="F190" s="38">
        <v>6</v>
      </c>
      <c r="G190" s="39" t="s">
        <v>226</v>
      </c>
      <c r="H190" s="40">
        <v>155.4</v>
      </c>
      <c r="I190" s="40">
        <f>I187*3</f>
        <v>30</v>
      </c>
      <c r="J190" s="41">
        <f t="shared" si="24"/>
        <v>46.62</v>
      </c>
      <c r="K190" s="40">
        <v>3.85</v>
      </c>
      <c r="L190" s="42">
        <f t="shared" si="25"/>
        <v>179.48699999999999</v>
      </c>
      <c r="M190" s="43"/>
    </row>
    <row r="193" spans="2:16" ht="15" thickBot="1" x14ac:dyDescent="0.2">
      <c r="F193" s="57" t="s">
        <v>253</v>
      </c>
      <c r="G193" s="57"/>
      <c r="H193" s="57"/>
      <c r="I193" s="57"/>
      <c r="J193" s="57"/>
      <c r="O193" s="58" t="s">
        <v>129</v>
      </c>
      <c r="P193" s="58"/>
    </row>
    <row r="194" spans="2:16" x14ac:dyDescent="0.15">
      <c r="C194" s="26">
        <f>(C195*C195+20*20)^0.5</f>
        <v>531.66431039143481</v>
      </c>
      <c r="E194" s="4" t="s">
        <v>130</v>
      </c>
      <c r="F194" s="5" t="s">
        <v>131</v>
      </c>
      <c r="G194" s="6" t="s">
        <v>132</v>
      </c>
      <c r="H194" s="6" t="s">
        <v>133</v>
      </c>
      <c r="I194" s="7" t="s">
        <v>134</v>
      </c>
      <c r="J194" s="6" t="s">
        <v>135</v>
      </c>
      <c r="K194" s="6" t="s">
        <v>136</v>
      </c>
      <c r="L194" s="6" t="s">
        <v>227</v>
      </c>
      <c r="M194" s="8" t="s">
        <v>138</v>
      </c>
      <c r="O194" s="14" t="s">
        <v>186</v>
      </c>
      <c r="P194" s="48">
        <f>M197</f>
        <v>213.6456</v>
      </c>
    </row>
    <row r="195" spans="2:16" x14ac:dyDescent="0.15">
      <c r="B195" s="1">
        <f>180-6*2+1+0.2</f>
        <v>169.2</v>
      </c>
      <c r="C195" s="1">
        <f>3.14*B195</f>
        <v>531.28800000000001</v>
      </c>
      <c r="E195" s="30"/>
      <c r="F195" s="13">
        <v>1</v>
      </c>
      <c r="G195" s="14" t="s">
        <v>228</v>
      </c>
      <c r="H195" s="15">
        <f>E197+133.8</f>
        <v>2233.8000000000002</v>
      </c>
      <c r="I195" s="15">
        <v>40</v>
      </c>
      <c r="J195" s="16">
        <f t="shared" ref="J195:J200" si="26">H195*I195/100</f>
        <v>893.52</v>
      </c>
      <c r="K195" s="15">
        <v>4.83</v>
      </c>
      <c r="L195" s="17">
        <f t="shared" ref="L195:L200" si="27">J195*K195*4</f>
        <v>17262.806400000001</v>
      </c>
      <c r="M195" s="31"/>
      <c r="O195" s="14" t="s">
        <v>229</v>
      </c>
      <c r="P195" s="17">
        <f>L195</f>
        <v>17262.806400000001</v>
      </c>
    </row>
    <row r="196" spans="2:16" x14ac:dyDescent="0.15">
      <c r="B196" s="1">
        <f>B195-20</f>
        <v>149.19999999999999</v>
      </c>
      <c r="C196" s="26">
        <f>(C195*C195+10*10)^0.5</f>
        <v>531.38210258156039</v>
      </c>
      <c r="E196" s="32" t="s">
        <v>230</v>
      </c>
      <c r="F196" s="13">
        <v>2</v>
      </c>
      <c r="G196" s="14" t="s">
        <v>231</v>
      </c>
      <c r="H196" s="15">
        <f>10*B199+60*C196+C198*C194+2*C195+3.14*B196</f>
        <v>75630.372006297039</v>
      </c>
      <c r="I196" s="15">
        <v>1</v>
      </c>
      <c r="J196" s="16">
        <f t="shared" si="26"/>
        <v>756.30372006297034</v>
      </c>
      <c r="K196" s="15">
        <v>0.61699999999999999</v>
      </c>
      <c r="L196" s="17">
        <f t="shared" si="27"/>
        <v>1866.5575811154108</v>
      </c>
      <c r="M196" s="33" t="s">
        <v>232</v>
      </c>
      <c r="O196" s="14" t="s">
        <v>233</v>
      </c>
      <c r="P196" s="17">
        <f>L197+L200</f>
        <v>1422.652</v>
      </c>
    </row>
    <row r="197" spans="2:16" x14ac:dyDescent="0.15">
      <c r="B197" s="1">
        <f>(B195+B196)/2</f>
        <v>159.19999999999999</v>
      </c>
      <c r="C197" s="11">
        <f>E197-106-600</f>
        <v>1394</v>
      </c>
      <c r="D197" s="11">
        <f>INT(E197/200)</f>
        <v>10</v>
      </c>
      <c r="E197" s="34">
        <v>2100</v>
      </c>
      <c r="F197" s="13">
        <v>3</v>
      </c>
      <c r="G197" s="14" t="s">
        <v>234</v>
      </c>
      <c r="H197" s="15">
        <v>511</v>
      </c>
      <c r="I197" s="15">
        <f>D197</f>
        <v>10</v>
      </c>
      <c r="J197" s="16">
        <f t="shared" si="26"/>
        <v>51.1</v>
      </c>
      <c r="K197" s="15">
        <v>3.85</v>
      </c>
      <c r="L197" s="17">
        <f t="shared" si="27"/>
        <v>786.94</v>
      </c>
      <c r="M197" s="35">
        <f>4*3.14*0.9*0.9*E197/100</f>
        <v>213.6456</v>
      </c>
      <c r="O197" s="14" t="s">
        <v>235</v>
      </c>
      <c r="P197" s="17">
        <f>L196</f>
        <v>1866.5575811154108</v>
      </c>
    </row>
    <row r="198" spans="2:16" x14ac:dyDescent="0.15">
      <c r="B198" s="1">
        <f>3.14*B197</f>
        <v>499.88799999999998</v>
      </c>
      <c r="C198" s="11">
        <f>INT(C197/20)+1</f>
        <v>70</v>
      </c>
      <c r="D198" s="11">
        <f>INT(E197/400)</f>
        <v>5</v>
      </c>
      <c r="E198" s="36"/>
      <c r="F198" s="13">
        <v>4</v>
      </c>
      <c r="G198" s="14" t="s">
        <v>236</v>
      </c>
      <c r="H198" s="15">
        <v>639.20000000000005</v>
      </c>
      <c r="I198" s="15">
        <v>11</v>
      </c>
      <c r="J198" s="16">
        <f t="shared" si="26"/>
        <v>70.312000000000012</v>
      </c>
      <c r="K198" s="15">
        <v>0.88800000000000001</v>
      </c>
      <c r="L198" s="17">
        <f t="shared" si="27"/>
        <v>249.74822400000005</v>
      </c>
      <c r="M198" s="31"/>
      <c r="O198" s="14" t="s">
        <v>236</v>
      </c>
      <c r="P198" s="17">
        <f>L198</f>
        <v>249.74822400000005</v>
      </c>
    </row>
    <row r="199" spans="2:16" x14ac:dyDescent="0.15">
      <c r="B199" s="26">
        <f>(B198*B198+10*10)^0.5</f>
        <v>499.98801240029741</v>
      </c>
      <c r="E199" s="36"/>
      <c r="F199" s="13">
        <v>5</v>
      </c>
      <c r="G199" s="14" t="s">
        <v>237</v>
      </c>
      <c r="H199" s="15">
        <v>42.2</v>
      </c>
      <c r="I199" s="15">
        <f>D198*4</f>
        <v>20</v>
      </c>
      <c r="J199" s="16">
        <f t="shared" si="26"/>
        <v>8.44</v>
      </c>
      <c r="K199" s="15">
        <v>1.58</v>
      </c>
      <c r="L199" s="17">
        <f t="shared" si="27"/>
        <v>53.340800000000002</v>
      </c>
      <c r="M199" s="31"/>
      <c r="O199" s="14" t="s">
        <v>182</v>
      </c>
      <c r="P199" s="17">
        <f>L199</f>
        <v>53.340800000000002</v>
      </c>
    </row>
    <row r="200" spans="2:16" ht="15" thickBot="1" x14ac:dyDescent="0.2">
      <c r="E200" s="37"/>
      <c r="F200" s="38">
        <v>6</v>
      </c>
      <c r="G200" s="39" t="s">
        <v>226</v>
      </c>
      <c r="H200" s="40">
        <v>137.6</v>
      </c>
      <c r="I200" s="40">
        <f>I197*3</f>
        <v>30</v>
      </c>
      <c r="J200" s="41">
        <f t="shared" si="26"/>
        <v>41.28</v>
      </c>
      <c r="K200" s="40">
        <v>3.85</v>
      </c>
      <c r="L200" s="42">
        <f t="shared" si="27"/>
        <v>635.71199999999999</v>
      </c>
      <c r="M200" s="43"/>
    </row>
    <row r="203" spans="2:16" ht="15" thickBot="1" x14ac:dyDescent="0.2">
      <c r="F203" s="57" t="s">
        <v>238</v>
      </c>
      <c r="G203" s="57"/>
      <c r="H203" s="57"/>
      <c r="I203" s="57"/>
      <c r="J203" s="57"/>
      <c r="O203" s="58" t="s">
        <v>9</v>
      </c>
      <c r="P203" s="58"/>
    </row>
    <row r="204" spans="2:16" x14ac:dyDescent="0.15">
      <c r="C204" s="26">
        <f>(C205*C205+20*20)^0.5</f>
        <v>594.42455513210416</v>
      </c>
      <c r="E204" s="4" t="s">
        <v>10</v>
      </c>
      <c r="F204" s="5" t="s">
        <v>11</v>
      </c>
      <c r="G204" s="6" t="s">
        <v>12</v>
      </c>
      <c r="H204" s="6" t="s">
        <v>13</v>
      </c>
      <c r="I204" s="7" t="s">
        <v>14</v>
      </c>
      <c r="J204" s="6" t="s">
        <v>15</v>
      </c>
      <c r="K204" s="6" t="s">
        <v>16</v>
      </c>
      <c r="L204" s="6" t="s">
        <v>239</v>
      </c>
      <c r="M204" s="8" t="s">
        <v>18</v>
      </c>
      <c r="O204" s="14" t="s">
        <v>240</v>
      </c>
      <c r="P204" s="48">
        <f>M207</f>
        <v>263.76</v>
      </c>
    </row>
    <row r="205" spans="2:16" x14ac:dyDescent="0.15">
      <c r="B205" s="1">
        <f>200-6*2+1+0.2</f>
        <v>189.2</v>
      </c>
      <c r="C205" s="1">
        <f>3.14*B205</f>
        <v>594.08799999999997</v>
      </c>
      <c r="E205" s="30"/>
      <c r="F205" s="13">
        <v>1</v>
      </c>
      <c r="G205" s="14" t="s">
        <v>241</v>
      </c>
      <c r="H205" s="15">
        <f>E207+133.8</f>
        <v>2233.8000000000002</v>
      </c>
      <c r="I205" s="15">
        <v>46</v>
      </c>
      <c r="J205" s="16">
        <f t="shared" ref="J205:J210" si="28">H205*I205/100</f>
        <v>1027.548</v>
      </c>
      <c r="K205" s="15">
        <v>4.83</v>
      </c>
      <c r="L205" s="17">
        <f t="shared" ref="L205:L210" si="29">J205*K205*4</f>
        <v>19852.227360000001</v>
      </c>
      <c r="M205" s="31"/>
      <c r="O205" s="14" t="s">
        <v>79</v>
      </c>
      <c r="P205" s="17">
        <f>L205</f>
        <v>19852.227360000001</v>
      </c>
    </row>
    <row r="206" spans="2:16" x14ac:dyDescent="0.15">
      <c r="B206" s="1">
        <f>B205-20</f>
        <v>169.2</v>
      </c>
      <c r="C206" s="26">
        <f>(C205*C205+10*10)^0.5</f>
        <v>594.17215665495462</v>
      </c>
      <c r="E206" s="32" t="s">
        <v>242</v>
      </c>
      <c r="F206" s="13">
        <v>2</v>
      </c>
      <c r="G206" s="14" t="s">
        <v>243</v>
      </c>
      <c r="H206" s="15">
        <f>10*B209+60*C206+C208*C204+2*C205+3.14*B206</f>
        <v>84607.280780294561</v>
      </c>
      <c r="I206" s="15">
        <v>1</v>
      </c>
      <c r="J206" s="16">
        <f t="shared" si="28"/>
        <v>846.07280780294559</v>
      </c>
      <c r="K206" s="15">
        <v>0.61699999999999999</v>
      </c>
      <c r="L206" s="17">
        <f t="shared" si="29"/>
        <v>2088.1076896576697</v>
      </c>
      <c r="M206" s="33" t="s">
        <v>244</v>
      </c>
      <c r="O206" s="14" t="s">
        <v>187</v>
      </c>
      <c r="P206" s="17">
        <f>L207+L210</f>
        <v>1599.29</v>
      </c>
    </row>
    <row r="207" spans="2:16" x14ac:dyDescent="0.15">
      <c r="B207" s="1">
        <f>(B205+B206)/2</f>
        <v>179.2</v>
      </c>
      <c r="C207" s="11">
        <f>E207-106-600</f>
        <v>1394</v>
      </c>
      <c r="D207" s="11">
        <f>INT(E207/200)</f>
        <v>10</v>
      </c>
      <c r="E207" s="34">
        <v>2100</v>
      </c>
      <c r="F207" s="13">
        <v>3</v>
      </c>
      <c r="G207" s="14" t="s">
        <v>178</v>
      </c>
      <c r="H207" s="15">
        <v>573.79999999999995</v>
      </c>
      <c r="I207" s="15">
        <f>D207</f>
        <v>10</v>
      </c>
      <c r="J207" s="16">
        <f t="shared" si="28"/>
        <v>57.38</v>
      </c>
      <c r="K207" s="15">
        <v>3.85</v>
      </c>
      <c r="L207" s="17">
        <f t="shared" si="29"/>
        <v>883.65200000000004</v>
      </c>
      <c r="M207" s="35">
        <f>4*3.14*1*1*E207/100</f>
        <v>263.76</v>
      </c>
      <c r="O207" s="14" t="s">
        <v>245</v>
      </c>
      <c r="P207" s="17">
        <f>L206</f>
        <v>2088.1076896576697</v>
      </c>
    </row>
    <row r="208" spans="2:16" x14ac:dyDescent="0.15">
      <c r="B208" s="1">
        <f>3.14*B207</f>
        <v>562.68799999999999</v>
      </c>
      <c r="C208" s="11">
        <f>INT(C207/20)+1</f>
        <v>70</v>
      </c>
      <c r="D208" s="11">
        <f>INT(E207/400)</f>
        <v>5</v>
      </c>
      <c r="E208" s="36"/>
      <c r="F208" s="13">
        <v>4</v>
      </c>
      <c r="G208" s="14" t="s">
        <v>192</v>
      </c>
      <c r="H208" s="15">
        <v>702</v>
      </c>
      <c r="I208" s="15">
        <v>11</v>
      </c>
      <c r="J208" s="16">
        <f t="shared" si="28"/>
        <v>77.22</v>
      </c>
      <c r="K208" s="15">
        <v>0.88800000000000001</v>
      </c>
      <c r="L208" s="17">
        <f t="shared" si="29"/>
        <v>274.28543999999999</v>
      </c>
      <c r="M208" s="31"/>
      <c r="O208" s="14" t="s">
        <v>192</v>
      </c>
      <c r="P208" s="17">
        <f>L208</f>
        <v>274.28543999999999</v>
      </c>
    </row>
    <row r="209" spans="2:16" x14ac:dyDescent="0.15">
      <c r="B209" s="26">
        <f>(B208*B208+10*10)^0.5</f>
        <v>562.77685217499834</v>
      </c>
      <c r="E209" s="36"/>
      <c r="F209" s="13">
        <v>5</v>
      </c>
      <c r="G209" s="14" t="s">
        <v>246</v>
      </c>
      <c r="H209" s="15">
        <v>42.2</v>
      </c>
      <c r="I209" s="15">
        <f>D208*4</f>
        <v>20</v>
      </c>
      <c r="J209" s="16">
        <f t="shared" si="28"/>
        <v>8.44</v>
      </c>
      <c r="K209" s="15">
        <v>1.58</v>
      </c>
      <c r="L209" s="17">
        <f t="shared" si="29"/>
        <v>53.340800000000002</v>
      </c>
      <c r="M209" s="31"/>
      <c r="O209" s="14" t="s">
        <v>247</v>
      </c>
      <c r="P209" s="17">
        <f>L209</f>
        <v>53.340800000000002</v>
      </c>
    </row>
    <row r="210" spans="2:16" ht="15" thickBot="1" x14ac:dyDescent="0.2">
      <c r="E210" s="37"/>
      <c r="F210" s="38">
        <v>6</v>
      </c>
      <c r="G210" s="39" t="s">
        <v>248</v>
      </c>
      <c r="H210" s="40">
        <v>154.9</v>
      </c>
      <c r="I210" s="40">
        <f>I207*3</f>
        <v>30</v>
      </c>
      <c r="J210" s="41">
        <f t="shared" si="28"/>
        <v>46.47</v>
      </c>
      <c r="K210" s="40">
        <v>3.85</v>
      </c>
      <c r="L210" s="42">
        <f t="shared" si="29"/>
        <v>715.63800000000003</v>
      </c>
      <c r="M210" s="43"/>
    </row>
  </sheetData>
  <mergeCells count="34">
    <mergeCell ref="O67:P67"/>
    <mergeCell ref="D2:H2"/>
    <mergeCell ref="O3:P3"/>
    <mergeCell ref="D16:H16"/>
    <mergeCell ref="O17:P17"/>
    <mergeCell ref="D33:H33"/>
    <mergeCell ref="O34:P34"/>
    <mergeCell ref="D49:H49"/>
    <mergeCell ref="I49:J49"/>
    <mergeCell ref="O50:P50"/>
    <mergeCell ref="D66:H66"/>
    <mergeCell ref="I66:J66"/>
    <mergeCell ref="D163:G163"/>
    <mergeCell ref="H163:L163"/>
    <mergeCell ref="O163:P163"/>
    <mergeCell ref="D82:H82"/>
    <mergeCell ref="O83:P83"/>
    <mergeCell ref="D98:H98"/>
    <mergeCell ref="O99:P99"/>
    <mergeCell ref="D113:H113"/>
    <mergeCell ref="O114:P114"/>
    <mergeCell ref="D129:H129"/>
    <mergeCell ref="I129:J129"/>
    <mergeCell ref="O130:P130"/>
    <mergeCell ref="D144:H144"/>
    <mergeCell ref="O145:P145"/>
    <mergeCell ref="F203:J203"/>
    <mergeCell ref="O203:P203"/>
    <mergeCell ref="G174:K174"/>
    <mergeCell ref="O174:P174"/>
    <mergeCell ref="G183:K183"/>
    <mergeCell ref="O183:P183"/>
    <mergeCell ref="F193:J193"/>
    <mergeCell ref="O193:P193"/>
  </mergeCells>
  <phoneticPr fontId="2" type="noConversion"/>
  <pageMargins left="0.7" right="0.7" top="0.75" bottom="0.75" header="0.3" footer="0.3"/>
  <pageSetup paperSize="301" orientation="landscape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计算表</vt:lpstr>
      <vt:lpstr>圆柱桥墩工程量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2023-11-14T08:40:10Z</dcterms:modified>
</cp:coreProperties>
</file>